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oushik\Dropbox\NTU Papers and ESM\Multivariate data\Daughters-First110days\"/>
    </mc:Choice>
  </mc:AlternateContent>
  <xr:revisionPtr revIDLastSave="0" documentId="13_ncr:1_{BCFA5E87-A392-4AEE-8E42-C6D88972DCBE}" xr6:coauthVersionLast="47" xr6:coauthVersionMax="47" xr10:uidLastSave="{00000000-0000-0000-0000-000000000000}"/>
  <bookViews>
    <workbookView xWindow="-110" yWindow="-110" windowWidth="25820" windowHeight="14020" tabRatio="877" xr2:uid="{00000000-000D-0000-FFFF-FFFF00000000}"/>
  </bookViews>
  <sheets>
    <sheet name="D4-UASB daughter reactors envir" sheetId="4" r:id="rId1"/>
  </sheets>
  <externalReferences>
    <externalReference r:id="rId2"/>
  </externalReferences>
  <definedNames>
    <definedName name="_xlnm._FilterDatabase" localSheetId="0" hidden="1">'D4-UASB daughter reactors envir'!$H$1:$H$474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4" l="1"/>
  <c r="AF3" i="4"/>
  <c r="AE4" i="4"/>
  <c r="AF4" i="4"/>
  <c r="AE5" i="4"/>
  <c r="AF5" i="4"/>
  <c r="AE6" i="4"/>
  <c r="AF6" i="4"/>
  <c r="AE7" i="4"/>
  <c r="AF7" i="4"/>
  <c r="AE8" i="4"/>
  <c r="AF8" i="4"/>
  <c r="AE9" i="4"/>
  <c r="AF9" i="4"/>
  <c r="AE10" i="4"/>
  <c r="AF10" i="4"/>
  <c r="AE11" i="4"/>
  <c r="AF11" i="4"/>
  <c r="AE12" i="4"/>
  <c r="AF12" i="4"/>
  <c r="AE13" i="4"/>
  <c r="AF13" i="4"/>
  <c r="AE14" i="4"/>
  <c r="AF14" i="4"/>
  <c r="AE15" i="4"/>
  <c r="AF15" i="4"/>
  <c r="AE16" i="4"/>
  <c r="AF16" i="4"/>
  <c r="AE17" i="4"/>
  <c r="AF17" i="4"/>
  <c r="AE18" i="4"/>
  <c r="AF18" i="4"/>
  <c r="AE19" i="4"/>
  <c r="AF19" i="4"/>
  <c r="AE20" i="4"/>
  <c r="AF20" i="4"/>
  <c r="AE21" i="4"/>
  <c r="AF21" i="4"/>
  <c r="AE22" i="4"/>
  <c r="AF22" i="4"/>
  <c r="AE23" i="4"/>
  <c r="AF23" i="4"/>
  <c r="AE24" i="4"/>
  <c r="AF24" i="4"/>
  <c r="AE25" i="4"/>
  <c r="AF25" i="4"/>
  <c r="AE26" i="4"/>
  <c r="AF26" i="4"/>
  <c r="AE27" i="4"/>
  <c r="AF27" i="4"/>
  <c r="AE28" i="4"/>
  <c r="AF28" i="4"/>
  <c r="AE29" i="4"/>
  <c r="AF29" i="4"/>
  <c r="AE30" i="4"/>
  <c r="AF30" i="4"/>
  <c r="AE31" i="4"/>
  <c r="AF31" i="4"/>
  <c r="AE32" i="4"/>
  <c r="AF32" i="4"/>
  <c r="AE33" i="4"/>
  <c r="AF33" i="4"/>
  <c r="AE34" i="4"/>
  <c r="AF34" i="4"/>
  <c r="AE35" i="4"/>
  <c r="AF35" i="4"/>
  <c r="AE36" i="4"/>
  <c r="AF36" i="4"/>
  <c r="AE37" i="4"/>
  <c r="AF37" i="4"/>
  <c r="AE38" i="4"/>
  <c r="AF38" i="4"/>
  <c r="AE39" i="4"/>
  <c r="AF39" i="4"/>
  <c r="AE40" i="4"/>
  <c r="AF40" i="4"/>
  <c r="AE41" i="4"/>
  <c r="AF41" i="4"/>
  <c r="AE42" i="4"/>
  <c r="AF42" i="4"/>
  <c r="AE43" i="4"/>
  <c r="AF43" i="4"/>
  <c r="AE44" i="4"/>
  <c r="AF44" i="4"/>
  <c r="AE45" i="4"/>
  <c r="AF45" i="4"/>
  <c r="AE46" i="4"/>
  <c r="AF46" i="4"/>
  <c r="AE47" i="4"/>
  <c r="AF47" i="4"/>
  <c r="AE48" i="4"/>
  <c r="AF48" i="4"/>
  <c r="AE49" i="4"/>
  <c r="AF49" i="4"/>
  <c r="AE50" i="4"/>
  <c r="AF50" i="4"/>
  <c r="AE51" i="4"/>
  <c r="AF51" i="4"/>
  <c r="AE52" i="4"/>
  <c r="AF52" i="4"/>
  <c r="AE53" i="4"/>
  <c r="AF53" i="4"/>
  <c r="AE54" i="4"/>
  <c r="AF54" i="4"/>
  <c r="AE55" i="4"/>
  <c r="AF55" i="4"/>
  <c r="AE56" i="4"/>
  <c r="AF56" i="4"/>
  <c r="AE57" i="4"/>
  <c r="AF57" i="4"/>
  <c r="AE58" i="4"/>
  <c r="AF58" i="4"/>
  <c r="AE59" i="4"/>
  <c r="AF59" i="4"/>
  <c r="AE60" i="4"/>
  <c r="AF60" i="4"/>
  <c r="AE61" i="4"/>
  <c r="AF61" i="4"/>
  <c r="AE62" i="4"/>
  <c r="AF62" i="4"/>
  <c r="AE63" i="4"/>
  <c r="AF63" i="4"/>
  <c r="AE64" i="4"/>
  <c r="AF64" i="4"/>
  <c r="AE65" i="4"/>
  <c r="AF65" i="4"/>
  <c r="AE66" i="4"/>
  <c r="AF66" i="4"/>
  <c r="AE67" i="4"/>
  <c r="AF67" i="4"/>
  <c r="AE68" i="4"/>
  <c r="AF68" i="4"/>
  <c r="AE69" i="4"/>
  <c r="AF69" i="4"/>
  <c r="AE70" i="4"/>
  <c r="AF70" i="4"/>
  <c r="AE71" i="4"/>
  <c r="AF71" i="4"/>
  <c r="AE72" i="4"/>
  <c r="AF72" i="4"/>
  <c r="AE73" i="4"/>
  <c r="AF73" i="4"/>
  <c r="AE74" i="4"/>
  <c r="AF74" i="4"/>
  <c r="AE75" i="4"/>
  <c r="AF75" i="4"/>
  <c r="AE76" i="4"/>
  <c r="AF76" i="4"/>
  <c r="AE77" i="4"/>
  <c r="AF77" i="4"/>
  <c r="AE78" i="4"/>
  <c r="AF78" i="4"/>
  <c r="AE79" i="4"/>
  <c r="AF79" i="4"/>
  <c r="AE80" i="4"/>
  <c r="AF80" i="4"/>
  <c r="AE81" i="4"/>
  <c r="AF81" i="4"/>
  <c r="AE82" i="4"/>
  <c r="AF82" i="4"/>
  <c r="AE83" i="4"/>
  <c r="AF83" i="4"/>
  <c r="AE84" i="4"/>
  <c r="AF84" i="4"/>
  <c r="AE85" i="4"/>
  <c r="AF85" i="4"/>
  <c r="AE86" i="4"/>
  <c r="AF86" i="4"/>
  <c r="AE87" i="4"/>
  <c r="AF87" i="4"/>
  <c r="AE88" i="4"/>
  <c r="AF88" i="4"/>
  <c r="AE89" i="4"/>
  <c r="AF89" i="4"/>
  <c r="AE90" i="4"/>
  <c r="AF90" i="4"/>
  <c r="AE91" i="4"/>
  <c r="AF91" i="4"/>
  <c r="AE92" i="4"/>
  <c r="AF92" i="4"/>
  <c r="AE93" i="4"/>
  <c r="AF93" i="4"/>
  <c r="AE94" i="4"/>
  <c r="AF94" i="4"/>
  <c r="AE95" i="4"/>
  <c r="AF95" i="4"/>
  <c r="AE96" i="4"/>
  <c r="AF96" i="4"/>
  <c r="AE97" i="4"/>
  <c r="AF97" i="4"/>
  <c r="AE98" i="4"/>
  <c r="AF98" i="4"/>
  <c r="AE99" i="4"/>
  <c r="AF99" i="4"/>
  <c r="AE100" i="4"/>
  <c r="AF100" i="4"/>
  <c r="AE101" i="4"/>
  <c r="AF101" i="4"/>
  <c r="AE102" i="4"/>
  <c r="AF102" i="4"/>
  <c r="AE103" i="4"/>
  <c r="AF103" i="4"/>
  <c r="AE104" i="4"/>
  <c r="AF104" i="4"/>
  <c r="AE105" i="4"/>
  <c r="AF105" i="4"/>
  <c r="AE106" i="4"/>
  <c r="AF106" i="4"/>
  <c r="AE107" i="4"/>
  <c r="AF107" i="4"/>
  <c r="AE108" i="4"/>
  <c r="AF108" i="4"/>
  <c r="AE109" i="4"/>
  <c r="AF109" i="4"/>
  <c r="AE110" i="4"/>
  <c r="AF110" i="4"/>
  <c r="AE111" i="4"/>
  <c r="AF111" i="4"/>
  <c r="AF2" i="4"/>
  <c r="AE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2" i="4"/>
  <c r="AB3" i="4"/>
  <c r="AC3" i="4"/>
  <c r="AB4" i="4"/>
  <c r="AC4" i="4"/>
  <c r="AB5" i="4"/>
  <c r="AC5" i="4"/>
  <c r="AB6" i="4"/>
  <c r="AC6" i="4"/>
  <c r="AB7" i="4"/>
  <c r="AC7" i="4"/>
  <c r="AB8" i="4"/>
  <c r="AC8" i="4"/>
  <c r="AB9" i="4"/>
  <c r="AC9" i="4"/>
  <c r="AB10" i="4"/>
  <c r="AC10" i="4"/>
  <c r="AB11" i="4"/>
  <c r="AC11" i="4"/>
  <c r="AB12" i="4"/>
  <c r="AC12" i="4"/>
  <c r="AB13" i="4"/>
  <c r="AC13" i="4"/>
  <c r="AB14" i="4"/>
  <c r="AC14" i="4"/>
  <c r="AB15" i="4"/>
  <c r="AC15" i="4"/>
  <c r="AB16" i="4"/>
  <c r="AC16" i="4"/>
  <c r="AB17" i="4"/>
  <c r="AC17" i="4"/>
  <c r="AB18" i="4"/>
  <c r="AC18" i="4"/>
  <c r="AB19" i="4"/>
  <c r="AC19" i="4"/>
  <c r="AB20" i="4"/>
  <c r="AC20" i="4"/>
  <c r="AB21" i="4"/>
  <c r="AC21" i="4"/>
  <c r="AB22" i="4"/>
  <c r="AC22" i="4"/>
  <c r="AB23" i="4"/>
  <c r="AC23" i="4"/>
  <c r="AB24" i="4"/>
  <c r="AC24" i="4"/>
  <c r="AB25" i="4"/>
  <c r="AC25" i="4"/>
  <c r="AB26" i="4"/>
  <c r="AC26" i="4"/>
  <c r="AB27" i="4"/>
  <c r="AC27" i="4"/>
  <c r="AB28" i="4"/>
  <c r="AC28" i="4"/>
  <c r="AB29" i="4"/>
  <c r="AC29" i="4"/>
  <c r="AB30" i="4"/>
  <c r="AC30" i="4"/>
  <c r="AB31" i="4"/>
  <c r="AC31" i="4"/>
  <c r="AB32" i="4"/>
  <c r="AC32" i="4"/>
  <c r="AB33" i="4"/>
  <c r="AC33" i="4"/>
  <c r="AB34" i="4"/>
  <c r="AC34" i="4"/>
  <c r="AB35" i="4"/>
  <c r="AC35" i="4"/>
  <c r="AB36" i="4"/>
  <c r="AC36" i="4"/>
  <c r="AB37" i="4"/>
  <c r="AC37" i="4"/>
  <c r="AB38" i="4"/>
  <c r="AC38" i="4"/>
  <c r="AB39" i="4"/>
  <c r="AC39" i="4"/>
  <c r="AB40" i="4"/>
  <c r="AC40" i="4"/>
  <c r="AB41" i="4"/>
  <c r="AC41" i="4"/>
  <c r="AB42" i="4"/>
  <c r="AC42" i="4"/>
  <c r="AB43" i="4"/>
  <c r="AC43" i="4"/>
  <c r="AB44" i="4"/>
  <c r="AC44" i="4"/>
  <c r="AB45" i="4"/>
  <c r="AC45" i="4"/>
  <c r="AB46" i="4"/>
  <c r="AC46" i="4"/>
  <c r="AB47" i="4"/>
  <c r="AC47" i="4"/>
  <c r="AB48" i="4"/>
  <c r="AC48" i="4"/>
  <c r="AB49" i="4"/>
  <c r="AC49" i="4"/>
  <c r="AB50" i="4"/>
  <c r="AC50" i="4"/>
  <c r="AB51" i="4"/>
  <c r="AC51" i="4"/>
  <c r="AB52" i="4"/>
  <c r="AC52" i="4"/>
  <c r="AB53" i="4"/>
  <c r="AC53" i="4"/>
  <c r="AB54" i="4"/>
  <c r="AC54" i="4"/>
  <c r="AB55" i="4"/>
  <c r="AC55" i="4"/>
  <c r="AB56" i="4"/>
  <c r="AC56" i="4"/>
  <c r="AB57" i="4"/>
  <c r="AC57" i="4"/>
  <c r="AB58" i="4"/>
  <c r="AC58" i="4"/>
  <c r="AB59" i="4"/>
  <c r="AC59" i="4"/>
  <c r="AB60" i="4"/>
  <c r="AC60" i="4"/>
  <c r="AB61" i="4"/>
  <c r="AC61" i="4"/>
  <c r="AB62" i="4"/>
  <c r="AC62" i="4"/>
  <c r="AB63" i="4"/>
  <c r="AC63" i="4"/>
  <c r="AB64" i="4"/>
  <c r="AC64" i="4"/>
  <c r="AB65" i="4"/>
  <c r="AC65" i="4"/>
  <c r="AB66" i="4"/>
  <c r="AC66" i="4"/>
  <c r="AB67" i="4"/>
  <c r="AC67" i="4"/>
  <c r="AB68" i="4"/>
  <c r="AC68" i="4"/>
  <c r="AB69" i="4"/>
  <c r="AC69" i="4"/>
  <c r="AB70" i="4"/>
  <c r="AC70" i="4"/>
  <c r="AB71" i="4"/>
  <c r="AC71" i="4"/>
  <c r="AB72" i="4"/>
  <c r="AC72" i="4"/>
  <c r="AB73" i="4"/>
  <c r="AC73" i="4"/>
  <c r="AB74" i="4"/>
  <c r="AC74" i="4"/>
  <c r="AB75" i="4"/>
  <c r="AC75" i="4"/>
  <c r="AB76" i="4"/>
  <c r="AC76" i="4"/>
  <c r="AB77" i="4"/>
  <c r="AC77" i="4"/>
  <c r="AB78" i="4"/>
  <c r="AC78" i="4"/>
  <c r="AB79" i="4"/>
  <c r="AC79" i="4"/>
  <c r="AB80" i="4"/>
  <c r="AC80" i="4"/>
  <c r="AB81" i="4"/>
  <c r="AC81" i="4"/>
  <c r="AB82" i="4"/>
  <c r="AC82" i="4"/>
  <c r="AB83" i="4"/>
  <c r="AC83" i="4"/>
  <c r="AB84" i="4"/>
  <c r="AC84" i="4"/>
  <c r="AB85" i="4"/>
  <c r="AC85" i="4"/>
  <c r="AB86" i="4"/>
  <c r="AC86" i="4"/>
  <c r="AB87" i="4"/>
  <c r="AC87" i="4"/>
  <c r="AB88" i="4"/>
  <c r="AC88" i="4"/>
  <c r="AB89" i="4"/>
  <c r="AC89" i="4"/>
  <c r="AB90" i="4"/>
  <c r="AC90" i="4"/>
  <c r="AB91" i="4"/>
  <c r="AC91" i="4"/>
  <c r="AB92" i="4"/>
  <c r="AC92" i="4"/>
  <c r="AB93" i="4"/>
  <c r="AC93" i="4"/>
  <c r="AB94" i="4"/>
  <c r="AC94" i="4"/>
  <c r="AB95" i="4"/>
  <c r="AC95" i="4"/>
  <c r="AB96" i="4"/>
  <c r="AC96" i="4"/>
  <c r="AB97" i="4"/>
  <c r="AC97" i="4"/>
  <c r="AB98" i="4"/>
  <c r="AC98" i="4"/>
  <c r="AB99" i="4"/>
  <c r="AC99" i="4"/>
  <c r="AB100" i="4"/>
  <c r="AC100" i="4"/>
  <c r="AB101" i="4"/>
  <c r="AC101" i="4"/>
  <c r="AB102" i="4"/>
  <c r="AC102" i="4"/>
  <c r="AB103" i="4"/>
  <c r="AC103" i="4"/>
  <c r="AB104" i="4"/>
  <c r="AC104" i="4"/>
  <c r="AB105" i="4"/>
  <c r="AC105" i="4"/>
  <c r="AB106" i="4"/>
  <c r="AC106" i="4"/>
  <c r="AB107" i="4"/>
  <c r="AC107" i="4"/>
  <c r="AB108" i="4"/>
  <c r="AC108" i="4"/>
  <c r="AB109" i="4"/>
  <c r="AC109" i="4"/>
  <c r="AB110" i="4"/>
  <c r="AC110" i="4"/>
  <c r="AB111" i="4"/>
  <c r="AC111" i="4"/>
  <c r="AC2" i="4"/>
  <c r="AB2" i="4"/>
  <c r="Z20" i="4"/>
  <c r="AA20" i="4"/>
  <c r="Z21" i="4"/>
  <c r="AA21" i="4"/>
  <c r="Z22" i="4"/>
  <c r="AA22" i="4"/>
  <c r="Z23" i="4"/>
  <c r="AA23" i="4"/>
  <c r="Z24" i="4"/>
  <c r="AA24" i="4"/>
  <c r="Z25" i="4"/>
  <c r="AA25" i="4"/>
  <c r="Z26" i="4"/>
  <c r="AA26" i="4"/>
  <c r="Z27" i="4"/>
  <c r="AA27" i="4"/>
  <c r="Z28" i="4"/>
  <c r="AA28" i="4"/>
  <c r="Z29" i="4"/>
  <c r="AA29" i="4"/>
  <c r="Z30" i="4"/>
  <c r="AA30" i="4"/>
  <c r="Z31" i="4"/>
  <c r="AA31" i="4"/>
  <c r="Z32" i="4"/>
  <c r="AA32" i="4"/>
  <c r="Z33" i="4"/>
  <c r="AA33" i="4"/>
  <c r="Z34" i="4"/>
  <c r="AA34" i="4"/>
  <c r="Z35" i="4"/>
  <c r="AA35" i="4"/>
  <c r="Z36" i="4"/>
  <c r="AA36" i="4"/>
  <c r="Z37" i="4"/>
  <c r="AA37" i="4"/>
  <c r="Z38" i="4"/>
  <c r="AA38" i="4"/>
  <c r="Z39" i="4"/>
  <c r="AA39" i="4"/>
  <c r="Z40" i="4"/>
  <c r="AA40" i="4"/>
  <c r="Z41" i="4"/>
  <c r="AA41" i="4"/>
  <c r="Z42" i="4"/>
  <c r="AA42" i="4"/>
  <c r="Z43" i="4"/>
  <c r="AA43" i="4"/>
  <c r="Z44" i="4"/>
  <c r="AA44" i="4"/>
  <c r="Z45" i="4"/>
  <c r="AA45" i="4"/>
  <c r="Z46" i="4"/>
  <c r="AA46" i="4"/>
  <c r="Z47" i="4"/>
  <c r="AA47" i="4"/>
  <c r="Z48" i="4"/>
  <c r="AA48" i="4"/>
  <c r="Z49" i="4"/>
  <c r="AA49" i="4"/>
  <c r="Z50" i="4"/>
  <c r="AA50" i="4"/>
  <c r="Z51" i="4"/>
  <c r="AA51" i="4"/>
  <c r="Z52" i="4"/>
  <c r="AA52" i="4"/>
  <c r="Z53" i="4"/>
  <c r="AA53" i="4"/>
  <c r="Z54" i="4"/>
  <c r="AA54" i="4"/>
  <c r="Z55" i="4"/>
  <c r="AA55" i="4"/>
  <c r="Z56" i="4"/>
  <c r="AA56" i="4"/>
  <c r="Z57" i="4"/>
  <c r="AA57" i="4"/>
  <c r="Z58" i="4"/>
  <c r="AA58" i="4"/>
  <c r="Z59" i="4"/>
  <c r="AA59" i="4"/>
  <c r="Z60" i="4"/>
  <c r="AA60" i="4"/>
  <c r="Z61" i="4"/>
  <c r="AA61" i="4"/>
  <c r="Z62" i="4"/>
  <c r="AA62" i="4"/>
  <c r="Z63" i="4"/>
  <c r="AA63" i="4"/>
  <c r="Z64" i="4"/>
  <c r="AA64" i="4"/>
  <c r="Z65" i="4"/>
  <c r="AA65" i="4"/>
  <c r="Z66" i="4"/>
  <c r="AA66" i="4"/>
  <c r="Z67" i="4"/>
  <c r="AA67" i="4"/>
  <c r="Z68" i="4"/>
  <c r="AA68" i="4"/>
  <c r="Z69" i="4"/>
  <c r="AA69" i="4"/>
  <c r="Z70" i="4"/>
  <c r="AA70" i="4"/>
  <c r="Z71" i="4"/>
  <c r="AA71" i="4"/>
  <c r="Z72" i="4"/>
  <c r="AA72" i="4"/>
  <c r="Z73" i="4"/>
  <c r="AA73" i="4"/>
  <c r="Z74" i="4"/>
  <c r="AA74" i="4"/>
  <c r="Z75" i="4"/>
  <c r="AA75" i="4"/>
  <c r="Z76" i="4"/>
  <c r="AA76" i="4"/>
  <c r="Z77" i="4"/>
  <c r="AA77" i="4"/>
  <c r="Z78" i="4"/>
  <c r="AA78" i="4"/>
  <c r="Z79" i="4"/>
  <c r="AA79" i="4"/>
  <c r="Z80" i="4"/>
  <c r="AA80" i="4"/>
  <c r="Z81" i="4"/>
  <c r="AA81" i="4"/>
  <c r="Z82" i="4"/>
  <c r="AA82" i="4"/>
  <c r="Z83" i="4"/>
  <c r="AA83" i="4"/>
  <c r="Z84" i="4"/>
  <c r="AA84" i="4"/>
  <c r="Z85" i="4"/>
  <c r="AA85" i="4"/>
  <c r="Z86" i="4"/>
  <c r="AA86" i="4"/>
  <c r="Z87" i="4"/>
  <c r="AA87" i="4"/>
  <c r="Z88" i="4"/>
  <c r="AA88" i="4"/>
  <c r="Z89" i="4"/>
  <c r="AA89" i="4"/>
  <c r="Z90" i="4"/>
  <c r="AA90" i="4"/>
  <c r="Z91" i="4"/>
  <c r="AA91" i="4"/>
  <c r="Z92" i="4"/>
  <c r="AA92" i="4"/>
  <c r="Z93" i="4"/>
  <c r="AA93" i="4"/>
  <c r="Z94" i="4"/>
  <c r="AA94" i="4"/>
  <c r="Z95" i="4"/>
  <c r="AA95" i="4"/>
  <c r="Z96" i="4"/>
  <c r="AA96" i="4"/>
  <c r="Z97" i="4"/>
  <c r="AA97" i="4"/>
  <c r="Z98" i="4"/>
  <c r="AA98" i="4"/>
  <c r="Z99" i="4"/>
  <c r="AA99" i="4"/>
  <c r="Z100" i="4"/>
  <c r="AA100" i="4"/>
  <c r="Z101" i="4"/>
  <c r="AA101" i="4"/>
  <c r="Z102" i="4"/>
  <c r="AA102" i="4"/>
  <c r="Z103" i="4"/>
  <c r="AA103" i="4"/>
  <c r="Z104" i="4"/>
  <c r="AA104" i="4"/>
  <c r="Z105" i="4"/>
  <c r="AA105" i="4"/>
  <c r="Z106" i="4"/>
  <c r="AA106" i="4"/>
  <c r="Z107" i="4"/>
  <c r="AA107" i="4"/>
  <c r="Z108" i="4"/>
  <c r="AA108" i="4"/>
  <c r="Z109" i="4"/>
  <c r="AA109" i="4"/>
  <c r="Z110" i="4"/>
  <c r="AA110" i="4"/>
  <c r="Z111" i="4"/>
  <c r="AA111" i="4"/>
  <c r="Z3" i="4"/>
  <c r="AA3" i="4"/>
  <c r="Z4" i="4"/>
  <c r="AA4" i="4"/>
  <c r="Z5" i="4"/>
  <c r="AA5" i="4"/>
  <c r="Z6" i="4"/>
  <c r="AA6" i="4"/>
  <c r="Z7" i="4"/>
  <c r="AA7" i="4"/>
  <c r="Z8" i="4"/>
  <c r="AA8" i="4"/>
  <c r="Z9" i="4"/>
  <c r="AA9" i="4"/>
  <c r="Z10" i="4"/>
  <c r="AA10" i="4"/>
  <c r="Z11" i="4"/>
  <c r="AA11" i="4"/>
  <c r="Z12" i="4"/>
  <c r="AA12" i="4"/>
  <c r="Z13" i="4"/>
  <c r="AA13" i="4"/>
  <c r="Z14" i="4"/>
  <c r="AA14" i="4"/>
  <c r="Z15" i="4"/>
  <c r="AA15" i="4"/>
  <c r="Z16" i="4"/>
  <c r="AA16" i="4"/>
  <c r="Z17" i="4"/>
  <c r="AA17" i="4"/>
  <c r="Z18" i="4"/>
  <c r="AA18" i="4"/>
  <c r="Z19" i="4"/>
  <c r="AA19" i="4"/>
  <c r="AA2" i="4"/>
  <c r="Z2" i="4"/>
  <c r="U3" i="4"/>
  <c r="V3" i="4"/>
  <c r="W3" i="4"/>
  <c r="X3" i="4"/>
  <c r="U4" i="4"/>
  <c r="V4" i="4"/>
  <c r="W4" i="4"/>
  <c r="X4" i="4"/>
  <c r="U5" i="4"/>
  <c r="V5" i="4"/>
  <c r="W5" i="4"/>
  <c r="X5" i="4"/>
  <c r="U6" i="4"/>
  <c r="V6" i="4"/>
  <c r="W6" i="4"/>
  <c r="X6" i="4"/>
  <c r="U7" i="4"/>
  <c r="V7" i="4"/>
  <c r="W7" i="4"/>
  <c r="X7" i="4"/>
  <c r="U8" i="4"/>
  <c r="V8" i="4"/>
  <c r="W8" i="4"/>
  <c r="X8" i="4"/>
  <c r="U9" i="4"/>
  <c r="V9" i="4"/>
  <c r="W9" i="4"/>
  <c r="X9" i="4"/>
  <c r="U10" i="4"/>
  <c r="V10" i="4"/>
  <c r="W10" i="4"/>
  <c r="X10" i="4"/>
  <c r="U11" i="4"/>
  <c r="V11" i="4"/>
  <c r="W11" i="4"/>
  <c r="X11" i="4"/>
  <c r="U12" i="4"/>
  <c r="V12" i="4"/>
  <c r="W12" i="4"/>
  <c r="X12" i="4"/>
  <c r="U13" i="4"/>
  <c r="V13" i="4"/>
  <c r="W13" i="4"/>
  <c r="X13" i="4"/>
  <c r="U14" i="4"/>
  <c r="V14" i="4"/>
  <c r="W14" i="4"/>
  <c r="X14" i="4"/>
  <c r="U15" i="4"/>
  <c r="V15" i="4"/>
  <c r="W15" i="4"/>
  <c r="X15" i="4"/>
  <c r="U16" i="4"/>
  <c r="V16" i="4"/>
  <c r="W16" i="4"/>
  <c r="X16" i="4"/>
  <c r="U17" i="4"/>
  <c r="V17" i="4"/>
  <c r="W17" i="4"/>
  <c r="X17" i="4"/>
  <c r="U18" i="4"/>
  <c r="V18" i="4"/>
  <c r="W18" i="4"/>
  <c r="X18" i="4"/>
  <c r="U19" i="4"/>
  <c r="V19" i="4"/>
  <c r="W19" i="4"/>
  <c r="X19" i="4"/>
  <c r="U20" i="4"/>
  <c r="V20" i="4"/>
  <c r="W20" i="4"/>
  <c r="X20" i="4"/>
  <c r="U21" i="4"/>
  <c r="V21" i="4"/>
  <c r="W21" i="4"/>
  <c r="X21" i="4"/>
  <c r="U22" i="4"/>
  <c r="V22" i="4"/>
  <c r="W22" i="4"/>
  <c r="X22" i="4"/>
  <c r="U23" i="4"/>
  <c r="V23" i="4"/>
  <c r="W23" i="4"/>
  <c r="X23" i="4"/>
  <c r="U24" i="4"/>
  <c r="V24" i="4"/>
  <c r="W24" i="4"/>
  <c r="X24" i="4"/>
  <c r="U25" i="4"/>
  <c r="V25" i="4"/>
  <c r="W25" i="4"/>
  <c r="X25" i="4"/>
  <c r="U26" i="4"/>
  <c r="V26" i="4"/>
  <c r="W26" i="4"/>
  <c r="X26" i="4"/>
  <c r="U27" i="4"/>
  <c r="V27" i="4"/>
  <c r="W27" i="4"/>
  <c r="X27" i="4"/>
  <c r="U28" i="4"/>
  <c r="V28" i="4"/>
  <c r="W28" i="4"/>
  <c r="X28" i="4"/>
  <c r="U29" i="4"/>
  <c r="V29" i="4"/>
  <c r="W29" i="4"/>
  <c r="X29" i="4"/>
  <c r="U30" i="4"/>
  <c r="V30" i="4"/>
  <c r="W30" i="4"/>
  <c r="X30" i="4"/>
  <c r="U31" i="4"/>
  <c r="V31" i="4"/>
  <c r="W31" i="4"/>
  <c r="X31" i="4"/>
  <c r="U32" i="4"/>
  <c r="V32" i="4"/>
  <c r="W32" i="4"/>
  <c r="X32" i="4"/>
  <c r="U33" i="4"/>
  <c r="V33" i="4"/>
  <c r="W33" i="4"/>
  <c r="X33" i="4"/>
  <c r="U34" i="4"/>
  <c r="V34" i="4"/>
  <c r="W34" i="4"/>
  <c r="X34" i="4"/>
  <c r="U35" i="4"/>
  <c r="V35" i="4"/>
  <c r="W35" i="4"/>
  <c r="X35" i="4"/>
  <c r="U36" i="4"/>
  <c r="V36" i="4"/>
  <c r="W36" i="4"/>
  <c r="X36" i="4"/>
  <c r="U37" i="4"/>
  <c r="V37" i="4"/>
  <c r="W37" i="4"/>
  <c r="X37" i="4"/>
  <c r="U38" i="4"/>
  <c r="V38" i="4"/>
  <c r="W38" i="4"/>
  <c r="X38" i="4"/>
  <c r="U39" i="4"/>
  <c r="V39" i="4"/>
  <c r="W39" i="4"/>
  <c r="X39" i="4"/>
  <c r="U40" i="4"/>
  <c r="V40" i="4"/>
  <c r="W40" i="4"/>
  <c r="X40" i="4"/>
  <c r="U41" i="4"/>
  <c r="V41" i="4"/>
  <c r="W41" i="4"/>
  <c r="X41" i="4"/>
  <c r="U42" i="4"/>
  <c r="V42" i="4"/>
  <c r="W42" i="4"/>
  <c r="X42" i="4"/>
  <c r="U43" i="4"/>
  <c r="V43" i="4"/>
  <c r="W43" i="4"/>
  <c r="X43" i="4"/>
  <c r="U44" i="4"/>
  <c r="V44" i="4"/>
  <c r="W44" i="4"/>
  <c r="X44" i="4"/>
  <c r="U45" i="4"/>
  <c r="V45" i="4"/>
  <c r="W45" i="4"/>
  <c r="X45" i="4"/>
  <c r="U46" i="4"/>
  <c r="V46" i="4"/>
  <c r="W46" i="4"/>
  <c r="X46" i="4"/>
  <c r="U47" i="4"/>
  <c r="V47" i="4"/>
  <c r="W47" i="4"/>
  <c r="X47" i="4"/>
  <c r="U48" i="4"/>
  <c r="V48" i="4"/>
  <c r="W48" i="4"/>
  <c r="X48" i="4"/>
  <c r="U49" i="4"/>
  <c r="V49" i="4"/>
  <c r="W49" i="4"/>
  <c r="X49" i="4"/>
  <c r="U50" i="4"/>
  <c r="V50" i="4"/>
  <c r="W50" i="4"/>
  <c r="X50" i="4"/>
  <c r="U51" i="4"/>
  <c r="V51" i="4"/>
  <c r="W51" i="4"/>
  <c r="X51" i="4"/>
  <c r="U52" i="4"/>
  <c r="V52" i="4"/>
  <c r="W52" i="4"/>
  <c r="X52" i="4"/>
  <c r="U53" i="4"/>
  <c r="V53" i="4"/>
  <c r="W53" i="4"/>
  <c r="X53" i="4"/>
  <c r="U54" i="4"/>
  <c r="V54" i="4"/>
  <c r="W54" i="4"/>
  <c r="X54" i="4"/>
  <c r="U55" i="4"/>
  <c r="V55" i="4"/>
  <c r="W55" i="4"/>
  <c r="X55" i="4"/>
  <c r="U56" i="4"/>
  <c r="V56" i="4"/>
  <c r="W56" i="4"/>
  <c r="X56" i="4"/>
  <c r="U57" i="4"/>
  <c r="V57" i="4"/>
  <c r="W57" i="4"/>
  <c r="X57" i="4"/>
  <c r="U58" i="4"/>
  <c r="V58" i="4"/>
  <c r="W58" i="4"/>
  <c r="X58" i="4"/>
  <c r="U59" i="4"/>
  <c r="V59" i="4"/>
  <c r="W59" i="4"/>
  <c r="X59" i="4"/>
  <c r="U60" i="4"/>
  <c r="V60" i="4"/>
  <c r="W60" i="4"/>
  <c r="X60" i="4"/>
  <c r="U61" i="4"/>
  <c r="V61" i="4"/>
  <c r="W61" i="4"/>
  <c r="X61" i="4"/>
  <c r="U62" i="4"/>
  <c r="V62" i="4"/>
  <c r="W62" i="4"/>
  <c r="X62" i="4"/>
  <c r="U63" i="4"/>
  <c r="V63" i="4"/>
  <c r="W63" i="4"/>
  <c r="X63" i="4"/>
  <c r="U64" i="4"/>
  <c r="V64" i="4"/>
  <c r="W64" i="4"/>
  <c r="X64" i="4"/>
  <c r="U65" i="4"/>
  <c r="V65" i="4"/>
  <c r="W65" i="4"/>
  <c r="X65" i="4"/>
  <c r="U66" i="4"/>
  <c r="V66" i="4"/>
  <c r="W66" i="4"/>
  <c r="X66" i="4"/>
  <c r="U67" i="4"/>
  <c r="V67" i="4"/>
  <c r="W67" i="4"/>
  <c r="X67" i="4"/>
  <c r="U68" i="4"/>
  <c r="V68" i="4"/>
  <c r="W68" i="4"/>
  <c r="X68" i="4"/>
  <c r="U69" i="4"/>
  <c r="V69" i="4"/>
  <c r="W69" i="4"/>
  <c r="X69" i="4"/>
  <c r="U70" i="4"/>
  <c r="V70" i="4"/>
  <c r="W70" i="4"/>
  <c r="X70" i="4"/>
  <c r="U71" i="4"/>
  <c r="V71" i="4"/>
  <c r="W71" i="4"/>
  <c r="X71" i="4"/>
  <c r="U72" i="4"/>
  <c r="V72" i="4"/>
  <c r="W72" i="4"/>
  <c r="X72" i="4"/>
  <c r="U73" i="4"/>
  <c r="V73" i="4"/>
  <c r="W73" i="4"/>
  <c r="X73" i="4"/>
  <c r="U74" i="4"/>
  <c r="V74" i="4"/>
  <c r="W74" i="4"/>
  <c r="X74" i="4"/>
  <c r="U75" i="4"/>
  <c r="V75" i="4"/>
  <c r="W75" i="4"/>
  <c r="X75" i="4"/>
  <c r="U76" i="4"/>
  <c r="V76" i="4"/>
  <c r="W76" i="4"/>
  <c r="X76" i="4"/>
  <c r="U77" i="4"/>
  <c r="V77" i="4"/>
  <c r="W77" i="4"/>
  <c r="X77" i="4"/>
  <c r="U78" i="4"/>
  <c r="V78" i="4"/>
  <c r="W78" i="4"/>
  <c r="X78" i="4"/>
  <c r="U79" i="4"/>
  <c r="V79" i="4"/>
  <c r="W79" i="4"/>
  <c r="X79" i="4"/>
  <c r="U80" i="4"/>
  <c r="V80" i="4"/>
  <c r="W80" i="4"/>
  <c r="X80" i="4"/>
  <c r="U81" i="4"/>
  <c r="V81" i="4"/>
  <c r="W81" i="4"/>
  <c r="X81" i="4"/>
  <c r="U82" i="4"/>
  <c r="V82" i="4"/>
  <c r="W82" i="4"/>
  <c r="X82" i="4"/>
  <c r="U83" i="4"/>
  <c r="V83" i="4"/>
  <c r="W83" i="4"/>
  <c r="X83" i="4"/>
  <c r="U84" i="4"/>
  <c r="V84" i="4"/>
  <c r="W84" i="4"/>
  <c r="X84" i="4"/>
  <c r="U85" i="4"/>
  <c r="V85" i="4"/>
  <c r="W85" i="4"/>
  <c r="X85" i="4"/>
  <c r="U86" i="4"/>
  <c r="V86" i="4"/>
  <c r="W86" i="4"/>
  <c r="X86" i="4"/>
  <c r="U87" i="4"/>
  <c r="V87" i="4"/>
  <c r="W87" i="4"/>
  <c r="X87" i="4"/>
  <c r="U88" i="4"/>
  <c r="V88" i="4"/>
  <c r="W88" i="4"/>
  <c r="X88" i="4"/>
  <c r="U89" i="4"/>
  <c r="V89" i="4"/>
  <c r="W89" i="4"/>
  <c r="X89" i="4"/>
  <c r="U90" i="4"/>
  <c r="V90" i="4"/>
  <c r="W90" i="4"/>
  <c r="X90" i="4"/>
  <c r="U91" i="4"/>
  <c r="V91" i="4"/>
  <c r="W91" i="4"/>
  <c r="X91" i="4"/>
  <c r="U92" i="4"/>
  <c r="V92" i="4"/>
  <c r="W92" i="4"/>
  <c r="X92" i="4"/>
  <c r="U93" i="4"/>
  <c r="V93" i="4"/>
  <c r="W93" i="4"/>
  <c r="X93" i="4"/>
  <c r="U94" i="4"/>
  <c r="V94" i="4"/>
  <c r="W94" i="4"/>
  <c r="X94" i="4"/>
  <c r="U95" i="4"/>
  <c r="V95" i="4"/>
  <c r="W95" i="4"/>
  <c r="X95" i="4"/>
  <c r="U96" i="4"/>
  <c r="V96" i="4"/>
  <c r="W96" i="4"/>
  <c r="X96" i="4"/>
  <c r="U97" i="4"/>
  <c r="V97" i="4"/>
  <c r="W97" i="4"/>
  <c r="X97" i="4"/>
  <c r="U98" i="4"/>
  <c r="V98" i="4"/>
  <c r="W98" i="4"/>
  <c r="X98" i="4"/>
  <c r="U99" i="4"/>
  <c r="V99" i="4"/>
  <c r="W99" i="4"/>
  <c r="X99" i="4"/>
  <c r="U100" i="4"/>
  <c r="V100" i="4"/>
  <c r="W100" i="4"/>
  <c r="X100" i="4"/>
  <c r="U101" i="4"/>
  <c r="V101" i="4"/>
  <c r="W101" i="4"/>
  <c r="X101" i="4"/>
  <c r="U102" i="4"/>
  <c r="V102" i="4"/>
  <c r="W102" i="4"/>
  <c r="X102" i="4"/>
  <c r="U103" i="4"/>
  <c r="V103" i="4"/>
  <c r="W103" i="4"/>
  <c r="X103" i="4"/>
  <c r="U104" i="4"/>
  <c r="V104" i="4"/>
  <c r="W104" i="4"/>
  <c r="X104" i="4"/>
  <c r="U105" i="4"/>
  <c r="V105" i="4"/>
  <c r="W105" i="4"/>
  <c r="X105" i="4"/>
  <c r="U106" i="4"/>
  <c r="V106" i="4"/>
  <c r="W106" i="4"/>
  <c r="X106" i="4"/>
  <c r="U107" i="4"/>
  <c r="V107" i="4"/>
  <c r="W107" i="4"/>
  <c r="X107" i="4"/>
  <c r="U108" i="4"/>
  <c r="V108" i="4"/>
  <c r="W108" i="4"/>
  <c r="X108" i="4"/>
  <c r="U109" i="4"/>
  <c r="V109" i="4"/>
  <c r="W109" i="4"/>
  <c r="X109" i="4"/>
  <c r="U110" i="4"/>
  <c r="V110" i="4"/>
  <c r="W110" i="4"/>
  <c r="X110" i="4"/>
  <c r="U111" i="4"/>
  <c r="V111" i="4"/>
  <c r="W111" i="4"/>
  <c r="X111" i="4"/>
  <c r="V2" i="4"/>
  <c r="W2" i="4"/>
  <c r="X2" i="4"/>
  <c r="U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" i="4"/>
  <c r="I21" i="4"/>
  <c r="J21" i="4"/>
  <c r="K21" i="4"/>
  <c r="L21" i="4"/>
  <c r="M21" i="4"/>
  <c r="N21" i="4"/>
  <c r="O21" i="4"/>
  <c r="P21" i="4"/>
  <c r="Q21" i="4"/>
  <c r="R21" i="4"/>
  <c r="S21" i="4"/>
  <c r="I22" i="4"/>
  <c r="J22" i="4"/>
  <c r="K22" i="4"/>
  <c r="L22" i="4"/>
  <c r="M22" i="4"/>
  <c r="N22" i="4"/>
  <c r="O22" i="4"/>
  <c r="P22" i="4"/>
  <c r="Q22" i="4"/>
  <c r="R22" i="4"/>
  <c r="S22" i="4"/>
  <c r="I23" i="4"/>
  <c r="J23" i="4"/>
  <c r="K23" i="4"/>
  <c r="L23" i="4"/>
  <c r="M23" i="4"/>
  <c r="N23" i="4"/>
  <c r="O23" i="4"/>
  <c r="P23" i="4"/>
  <c r="Q23" i="4"/>
  <c r="R23" i="4"/>
  <c r="S23" i="4"/>
  <c r="I24" i="4"/>
  <c r="J24" i="4"/>
  <c r="K24" i="4"/>
  <c r="L24" i="4"/>
  <c r="M24" i="4"/>
  <c r="N24" i="4"/>
  <c r="O24" i="4"/>
  <c r="P24" i="4"/>
  <c r="Q24" i="4"/>
  <c r="R24" i="4"/>
  <c r="S24" i="4"/>
  <c r="I25" i="4"/>
  <c r="J25" i="4"/>
  <c r="K25" i="4"/>
  <c r="L25" i="4"/>
  <c r="M25" i="4"/>
  <c r="N25" i="4"/>
  <c r="O25" i="4"/>
  <c r="P25" i="4"/>
  <c r="Q25" i="4"/>
  <c r="R25" i="4"/>
  <c r="S25" i="4"/>
  <c r="I26" i="4"/>
  <c r="J26" i="4"/>
  <c r="K26" i="4"/>
  <c r="L26" i="4"/>
  <c r="M26" i="4"/>
  <c r="N26" i="4"/>
  <c r="O26" i="4"/>
  <c r="P26" i="4"/>
  <c r="Q26" i="4"/>
  <c r="R26" i="4"/>
  <c r="S26" i="4"/>
  <c r="I27" i="4"/>
  <c r="J27" i="4"/>
  <c r="K27" i="4"/>
  <c r="L27" i="4"/>
  <c r="M27" i="4"/>
  <c r="N27" i="4"/>
  <c r="O27" i="4"/>
  <c r="P27" i="4"/>
  <c r="Q27" i="4"/>
  <c r="R27" i="4"/>
  <c r="S27" i="4"/>
  <c r="I28" i="4"/>
  <c r="J28" i="4"/>
  <c r="K28" i="4"/>
  <c r="L28" i="4"/>
  <c r="M28" i="4"/>
  <c r="N28" i="4"/>
  <c r="O28" i="4"/>
  <c r="P28" i="4"/>
  <c r="Q28" i="4"/>
  <c r="R28" i="4"/>
  <c r="S28" i="4"/>
  <c r="I29" i="4"/>
  <c r="J29" i="4"/>
  <c r="K29" i="4"/>
  <c r="L29" i="4"/>
  <c r="M29" i="4"/>
  <c r="N29" i="4"/>
  <c r="O29" i="4"/>
  <c r="P29" i="4"/>
  <c r="Q29" i="4"/>
  <c r="R29" i="4"/>
  <c r="S29" i="4"/>
  <c r="I30" i="4"/>
  <c r="J30" i="4"/>
  <c r="K30" i="4"/>
  <c r="L30" i="4"/>
  <c r="M30" i="4"/>
  <c r="N30" i="4"/>
  <c r="O30" i="4"/>
  <c r="P30" i="4"/>
  <c r="Q30" i="4"/>
  <c r="R30" i="4"/>
  <c r="S30" i="4"/>
  <c r="I31" i="4"/>
  <c r="J31" i="4"/>
  <c r="K31" i="4"/>
  <c r="L31" i="4"/>
  <c r="M31" i="4"/>
  <c r="N31" i="4"/>
  <c r="O31" i="4"/>
  <c r="P31" i="4"/>
  <c r="Q31" i="4"/>
  <c r="R31" i="4"/>
  <c r="S31" i="4"/>
  <c r="I32" i="4"/>
  <c r="J32" i="4"/>
  <c r="K32" i="4"/>
  <c r="L32" i="4"/>
  <c r="M32" i="4"/>
  <c r="N32" i="4"/>
  <c r="O32" i="4"/>
  <c r="P32" i="4"/>
  <c r="Q32" i="4"/>
  <c r="R32" i="4"/>
  <c r="S32" i="4"/>
  <c r="I33" i="4"/>
  <c r="J33" i="4"/>
  <c r="K33" i="4"/>
  <c r="L33" i="4"/>
  <c r="M33" i="4"/>
  <c r="N33" i="4"/>
  <c r="O33" i="4"/>
  <c r="P33" i="4"/>
  <c r="Q33" i="4"/>
  <c r="R33" i="4"/>
  <c r="S33" i="4"/>
  <c r="I34" i="4"/>
  <c r="J34" i="4"/>
  <c r="K34" i="4"/>
  <c r="L34" i="4"/>
  <c r="M34" i="4"/>
  <c r="N34" i="4"/>
  <c r="O34" i="4"/>
  <c r="P34" i="4"/>
  <c r="Q34" i="4"/>
  <c r="R34" i="4"/>
  <c r="S34" i="4"/>
  <c r="I35" i="4"/>
  <c r="J35" i="4"/>
  <c r="K35" i="4"/>
  <c r="L35" i="4"/>
  <c r="M35" i="4"/>
  <c r="N35" i="4"/>
  <c r="O35" i="4"/>
  <c r="P35" i="4"/>
  <c r="Q35" i="4"/>
  <c r="R35" i="4"/>
  <c r="S35" i="4"/>
  <c r="I36" i="4"/>
  <c r="J36" i="4"/>
  <c r="K36" i="4"/>
  <c r="L36" i="4"/>
  <c r="M36" i="4"/>
  <c r="N36" i="4"/>
  <c r="O36" i="4"/>
  <c r="P36" i="4"/>
  <c r="Q36" i="4"/>
  <c r="R36" i="4"/>
  <c r="S36" i="4"/>
  <c r="I37" i="4"/>
  <c r="J37" i="4"/>
  <c r="K37" i="4"/>
  <c r="L37" i="4"/>
  <c r="M37" i="4"/>
  <c r="N37" i="4"/>
  <c r="O37" i="4"/>
  <c r="P37" i="4"/>
  <c r="Q37" i="4"/>
  <c r="R37" i="4"/>
  <c r="S37" i="4"/>
  <c r="I38" i="4"/>
  <c r="J38" i="4"/>
  <c r="K38" i="4"/>
  <c r="L38" i="4"/>
  <c r="M38" i="4"/>
  <c r="N38" i="4"/>
  <c r="O38" i="4"/>
  <c r="P38" i="4"/>
  <c r="Q38" i="4"/>
  <c r="R38" i="4"/>
  <c r="S38" i="4"/>
  <c r="I39" i="4"/>
  <c r="J39" i="4"/>
  <c r="K39" i="4"/>
  <c r="L39" i="4"/>
  <c r="M39" i="4"/>
  <c r="N39" i="4"/>
  <c r="O39" i="4"/>
  <c r="P39" i="4"/>
  <c r="Q39" i="4"/>
  <c r="R39" i="4"/>
  <c r="S39" i="4"/>
  <c r="I40" i="4"/>
  <c r="J40" i="4"/>
  <c r="K40" i="4"/>
  <c r="L40" i="4"/>
  <c r="M40" i="4"/>
  <c r="N40" i="4"/>
  <c r="O40" i="4"/>
  <c r="P40" i="4"/>
  <c r="Q40" i="4"/>
  <c r="R40" i="4"/>
  <c r="S40" i="4"/>
  <c r="I41" i="4"/>
  <c r="J41" i="4"/>
  <c r="K41" i="4"/>
  <c r="L41" i="4"/>
  <c r="M41" i="4"/>
  <c r="N41" i="4"/>
  <c r="O41" i="4"/>
  <c r="P41" i="4"/>
  <c r="Q41" i="4"/>
  <c r="R41" i="4"/>
  <c r="S41" i="4"/>
  <c r="I42" i="4"/>
  <c r="J42" i="4"/>
  <c r="K42" i="4"/>
  <c r="L42" i="4"/>
  <c r="M42" i="4"/>
  <c r="N42" i="4"/>
  <c r="O42" i="4"/>
  <c r="P42" i="4"/>
  <c r="Q42" i="4"/>
  <c r="R42" i="4"/>
  <c r="S42" i="4"/>
  <c r="I43" i="4"/>
  <c r="J43" i="4"/>
  <c r="K43" i="4"/>
  <c r="L43" i="4"/>
  <c r="M43" i="4"/>
  <c r="N43" i="4"/>
  <c r="O43" i="4"/>
  <c r="P43" i="4"/>
  <c r="Q43" i="4"/>
  <c r="R43" i="4"/>
  <c r="S43" i="4"/>
  <c r="I44" i="4"/>
  <c r="J44" i="4"/>
  <c r="K44" i="4"/>
  <c r="L44" i="4"/>
  <c r="M44" i="4"/>
  <c r="N44" i="4"/>
  <c r="O44" i="4"/>
  <c r="P44" i="4"/>
  <c r="Q44" i="4"/>
  <c r="R44" i="4"/>
  <c r="S44" i="4"/>
  <c r="I45" i="4"/>
  <c r="J45" i="4"/>
  <c r="K45" i="4"/>
  <c r="L45" i="4"/>
  <c r="M45" i="4"/>
  <c r="N45" i="4"/>
  <c r="O45" i="4"/>
  <c r="P45" i="4"/>
  <c r="Q45" i="4"/>
  <c r="R45" i="4"/>
  <c r="S45" i="4"/>
  <c r="I46" i="4"/>
  <c r="J46" i="4"/>
  <c r="K46" i="4"/>
  <c r="L46" i="4"/>
  <c r="M46" i="4"/>
  <c r="N46" i="4"/>
  <c r="O46" i="4"/>
  <c r="P46" i="4"/>
  <c r="Q46" i="4"/>
  <c r="R46" i="4"/>
  <c r="S46" i="4"/>
  <c r="I47" i="4"/>
  <c r="J47" i="4"/>
  <c r="K47" i="4"/>
  <c r="L47" i="4"/>
  <c r="M47" i="4"/>
  <c r="N47" i="4"/>
  <c r="O47" i="4"/>
  <c r="P47" i="4"/>
  <c r="Q47" i="4"/>
  <c r="R47" i="4"/>
  <c r="S47" i="4"/>
  <c r="I48" i="4"/>
  <c r="J48" i="4"/>
  <c r="K48" i="4"/>
  <c r="L48" i="4"/>
  <c r="M48" i="4"/>
  <c r="N48" i="4"/>
  <c r="O48" i="4"/>
  <c r="P48" i="4"/>
  <c r="Q48" i="4"/>
  <c r="R48" i="4"/>
  <c r="S48" i="4"/>
  <c r="I49" i="4"/>
  <c r="J49" i="4"/>
  <c r="K49" i="4"/>
  <c r="L49" i="4"/>
  <c r="M49" i="4"/>
  <c r="N49" i="4"/>
  <c r="O49" i="4"/>
  <c r="P49" i="4"/>
  <c r="Q49" i="4"/>
  <c r="R49" i="4"/>
  <c r="S49" i="4"/>
  <c r="I50" i="4"/>
  <c r="J50" i="4"/>
  <c r="K50" i="4"/>
  <c r="L50" i="4"/>
  <c r="M50" i="4"/>
  <c r="N50" i="4"/>
  <c r="O50" i="4"/>
  <c r="P50" i="4"/>
  <c r="Q50" i="4"/>
  <c r="R50" i="4"/>
  <c r="S50" i="4"/>
  <c r="I51" i="4"/>
  <c r="J51" i="4"/>
  <c r="K51" i="4"/>
  <c r="L51" i="4"/>
  <c r="M51" i="4"/>
  <c r="N51" i="4"/>
  <c r="O51" i="4"/>
  <c r="P51" i="4"/>
  <c r="Q51" i="4"/>
  <c r="R51" i="4"/>
  <c r="S51" i="4"/>
  <c r="I52" i="4"/>
  <c r="J52" i="4"/>
  <c r="K52" i="4"/>
  <c r="L52" i="4"/>
  <c r="M52" i="4"/>
  <c r="N52" i="4"/>
  <c r="O52" i="4"/>
  <c r="P52" i="4"/>
  <c r="Q52" i="4"/>
  <c r="R52" i="4"/>
  <c r="S52" i="4"/>
  <c r="I53" i="4"/>
  <c r="J53" i="4"/>
  <c r="K53" i="4"/>
  <c r="L53" i="4"/>
  <c r="M53" i="4"/>
  <c r="N53" i="4"/>
  <c r="O53" i="4"/>
  <c r="P53" i="4"/>
  <c r="Q53" i="4"/>
  <c r="R53" i="4"/>
  <c r="S53" i="4"/>
  <c r="I54" i="4"/>
  <c r="J54" i="4"/>
  <c r="K54" i="4"/>
  <c r="L54" i="4"/>
  <c r="M54" i="4"/>
  <c r="N54" i="4"/>
  <c r="O54" i="4"/>
  <c r="P54" i="4"/>
  <c r="Q54" i="4"/>
  <c r="R54" i="4"/>
  <c r="S54" i="4"/>
  <c r="I55" i="4"/>
  <c r="J55" i="4"/>
  <c r="K55" i="4"/>
  <c r="L55" i="4"/>
  <c r="M55" i="4"/>
  <c r="N55" i="4"/>
  <c r="O55" i="4"/>
  <c r="P55" i="4"/>
  <c r="Q55" i="4"/>
  <c r="R55" i="4"/>
  <c r="S55" i="4"/>
  <c r="I56" i="4"/>
  <c r="J56" i="4"/>
  <c r="K56" i="4"/>
  <c r="L56" i="4"/>
  <c r="M56" i="4"/>
  <c r="N56" i="4"/>
  <c r="O56" i="4"/>
  <c r="P56" i="4"/>
  <c r="Q56" i="4"/>
  <c r="R56" i="4"/>
  <c r="S56" i="4"/>
  <c r="I57" i="4"/>
  <c r="J57" i="4"/>
  <c r="K57" i="4"/>
  <c r="L57" i="4"/>
  <c r="M57" i="4"/>
  <c r="N57" i="4"/>
  <c r="O57" i="4"/>
  <c r="P57" i="4"/>
  <c r="Q57" i="4"/>
  <c r="R57" i="4"/>
  <c r="S57" i="4"/>
  <c r="I58" i="4"/>
  <c r="J58" i="4"/>
  <c r="K58" i="4"/>
  <c r="L58" i="4"/>
  <c r="M58" i="4"/>
  <c r="N58" i="4"/>
  <c r="O58" i="4"/>
  <c r="P58" i="4"/>
  <c r="Q58" i="4"/>
  <c r="R58" i="4"/>
  <c r="S58" i="4"/>
  <c r="I59" i="4"/>
  <c r="J59" i="4"/>
  <c r="K59" i="4"/>
  <c r="L59" i="4"/>
  <c r="M59" i="4"/>
  <c r="N59" i="4"/>
  <c r="O59" i="4"/>
  <c r="P59" i="4"/>
  <c r="Q59" i="4"/>
  <c r="R59" i="4"/>
  <c r="S59" i="4"/>
  <c r="I60" i="4"/>
  <c r="J60" i="4"/>
  <c r="K60" i="4"/>
  <c r="L60" i="4"/>
  <c r="M60" i="4"/>
  <c r="N60" i="4"/>
  <c r="O60" i="4"/>
  <c r="P60" i="4"/>
  <c r="Q60" i="4"/>
  <c r="R60" i="4"/>
  <c r="S60" i="4"/>
  <c r="I61" i="4"/>
  <c r="J61" i="4"/>
  <c r="K61" i="4"/>
  <c r="L61" i="4"/>
  <c r="M61" i="4"/>
  <c r="N61" i="4"/>
  <c r="O61" i="4"/>
  <c r="P61" i="4"/>
  <c r="Q61" i="4"/>
  <c r="R61" i="4"/>
  <c r="S61" i="4"/>
  <c r="I62" i="4"/>
  <c r="J62" i="4"/>
  <c r="K62" i="4"/>
  <c r="L62" i="4"/>
  <c r="M62" i="4"/>
  <c r="N62" i="4"/>
  <c r="O62" i="4"/>
  <c r="P62" i="4"/>
  <c r="Q62" i="4"/>
  <c r="R62" i="4"/>
  <c r="S62" i="4"/>
  <c r="I63" i="4"/>
  <c r="J63" i="4"/>
  <c r="K63" i="4"/>
  <c r="L63" i="4"/>
  <c r="M63" i="4"/>
  <c r="N63" i="4"/>
  <c r="O63" i="4"/>
  <c r="P63" i="4"/>
  <c r="Q63" i="4"/>
  <c r="R63" i="4"/>
  <c r="S63" i="4"/>
  <c r="I64" i="4"/>
  <c r="J64" i="4"/>
  <c r="K64" i="4"/>
  <c r="L64" i="4"/>
  <c r="M64" i="4"/>
  <c r="N64" i="4"/>
  <c r="O64" i="4"/>
  <c r="P64" i="4"/>
  <c r="Q64" i="4"/>
  <c r="R64" i="4"/>
  <c r="S64" i="4"/>
  <c r="I65" i="4"/>
  <c r="J65" i="4"/>
  <c r="K65" i="4"/>
  <c r="L65" i="4"/>
  <c r="M65" i="4"/>
  <c r="N65" i="4"/>
  <c r="O65" i="4"/>
  <c r="P65" i="4"/>
  <c r="Q65" i="4"/>
  <c r="R65" i="4"/>
  <c r="S65" i="4"/>
  <c r="I66" i="4"/>
  <c r="J66" i="4"/>
  <c r="K66" i="4"/>
  <c r="L66" i="4"/>
  <c r="M66" i="4"/>
  <c r="N66" i="4"/>
  <c r="O66" i="4"/>
  <c r="P66" i="4"/>
  <c r="Q66" i="4"/>
  <c r="R66" i="4"/>
  <c r="S66" i="4"/>
  <c r="I67" i="4"/>
  <c r="J67" i="4"/>
  <c r="K67" i="4"/>
  <c r="L67" i="4"/>
  <c r="M67" i="4"/>
  <c r="N67" i="4"/>
  <c r="O67" i="4"/>
  <c r="P67" i="4"/>
  <c r="Q67" i="4"/>
  <c r="R67" i="4"/>
  <c r="S67" i="4"/>
  <c r="I68" i="4"/>
  <c r="J68" i="4"/>
  <c r="K68" i="4"/>
  <c r="L68" i="4"/>
  <c r="M68" i="4"/>
  <c r="N68" i="4"/>
  <c r="O68" i="4"/>
  <c r="P68" i="4"/>
  <c r="Q68" i="4"/>
  <c r="R68" i="4"/>
  <c r="S68" i="4"/>
  <c r="I69" i="4"/>
  <c r="J69" i="4"/>
  <c r="K69" i="4"/>
  <c r="L69" i="4"/>
  <c r="M69" i="4"/>
  <c r="N69" i="4"/>
  <c r="O69" i="4"/>
  <c r="P69" i="4"/>
  <c r="Q69" i="4"/>
  <c r="R69" i="4"/>
  <c r="S69" i="4"/>
  <c r="I70" i="4"/>
  <c r="J70" i="4"/>
  <c r="K70" i="4"/>
  <c r="L70" i="4"/>
  <c r="M70" i="4"/>
  <c r="N70" i="4"/>
  <c r="O70" i="4"/>
  <c r="P70" i="4"/>
  <c r="Q70" i="4"/>
  <c r="R70" i="4"/>
  <c r="S70" i="4"/>
  <c r="I71" i="4"/>
  <c r="J71" i="4"/>
  <c r="K71" i="4"/>
  <c r="L71" i="4"/>
  <c r="M71" i="4"/>
  <c r="N71" i="4"/>
  <c r="O71" i="4"/>
  <c r="P71" i="4"/>
  <c r="Q71" i="4"/>
  <c r="R71" i="4"/>
  <c r="S71" i="4"/>
  <c r="I72" i="4"/>
  <c r="J72" i="4"/>
  <c r="K72" i="4"/>
  <c r="L72" i="4"/>
  <c r="M72" i="4"/>
  <c r="N72" i="4"/>
  <c r="O72" i="4"/>
  <c r="P72" i="4"/>
  <c r="Q72" i="4"/>
  <c r="R72" i="4"/>
  <c r="S72" i="4"/>
  <c r="I73" i="4"/>
  <c r="J73" i="4"/>
  <c r="K73" i="4"/>
  <c r="L73" i="4"/>
  <c r="M73" i="4"/>
  <c r="N73" i="4"/>
  <c r="O73" i="4"/>
  <c r="P73" i="4"/>
  <c r="Q73" i="4"/>
  <c r="R73" i="4"/>
  <c r="S73" i="4"/>
  <c r="I74" i="4"/>
  <c r="J74" i="4"/>
  <c r="K74" i="4"/>
  <c r="L74" i="4"/>
  <c r="M74" i="4"/>
  <c r="N74" i="4"/>
  <c r="O74" i="4"/>
  <c r="P74" i="4"/>
  <c r="Q74" i="4"/>
  <c r="R74" i="4"/>
  <c r="S74" i="4"/>
  <c r="I75" i="4"/>
  <c r="J75" i="4"/>
  <c r="K75" i="4"/>
  <c r="L75" i="4"/>
  <c r="M75" i="4"/>
  <c r="N75" i="4"/>
  <c r="O75" i="4"/>
  <c r="P75" i="4"/>
  <c r="Q75" i="4"/>
  <c r="R75" i="4"/>
  <c r="S75" i="4"/>
  <c r="I76" i="4"/>
  <c r="J76" i="4"/>
  <c r="K76" i="4"/>
  <c r="L76" i="4"/>
  <c r="M76" i="4"/>
  <c r="N76" i="4"/>
  <c r="O76" i="4"/>
  <c r="P76" i="4"/>
  <c r="Q76" i="4"/>
  <c r="R76" i="4"/>
  <c r="S76" i="4"/>
  <c r="I77" i="4"/>
  <c r="J77" i="4"/>
  <c r="K77" i="4"/>
  <c r="L77" i="4"/>
  <c r="M77" i="4"/>
  <c r="N77" i="4"/>
  <c r="O77" i="4"/>
  <c r="P77" i="4"/>
  <c r="Q77" i="4"/>
  <c r="R77" i="4"/>
  <c r="S77" i="4"/>
  <c r="I78" i="4"/>
  <c r="J78" i="4"/>
  <c r="K78" i="4"/>
  <c r="L78" i="4"/>
  <c r="M78" i="4"/>
  <c r="N78" i="4"/>
  <c r="O78" i="4"/>
  <c r="P78" i="4"/>
  <c r="Q78" i="4"/>
  <c r="R78" i="4"/>
  <c r="S78" i="4"/>
  <c r="I79" i="4"/>
  <c r="J79" i="4"/>
  <c r="K79" i="4"/>
  <c r="L79" i="4"/>
  <c r="M79" i="4"/>
  <c r="N79" i="4"/>
  <c r="O79" i="4"/>
  <c r="P79" i="4"/>
  <c r="Q79" i="4"/>
  <c r="R79" i="4"/>
  <c r="S79" i="4"/>
  <c r="I80" i="4"/>
  <c r="J80" i="4"/>
  <c r="K80" i="4"/>
  <c r="L80" i="4"/>
  <c r="M80" i="4"/>
  <c r="N80" i="4"/>
  <c r="O80" i="4"/>
  <c r="P80" i="4"/>
  <c r="Q80" i="4"/>
  <c r="R80" i="4"/>
  <c r="S80" i="4"/>
  <c r="I81" i="4"/>
  <c r="J81" i="4"/>
  <c r="K81" i="4"/>
  <c r="L81" i="4"/>
  <c r="M81" i="4"/>
  <c r="N81" i="4"/>
  <c r="O81" i="4"/>
  <c r="P81" i="4"/>
  <c r="Q81" i="4"/>
  <c r="R81" i="4"/>
  <c r="S81" i="4"/>
  <c r="I82" i="4"/>
  <c r="J82" i="4"/>
  <c r="K82" i="4"/>
  <c r="L82" i="4"/>
  <c r="M82" i="4"/>
  <c r="N82" i="4"/>
  <c r="O82" i="4"/>
  <c r="P82" i="4"/>
  <c r="Q82" i="4"/>
  <c r="R82" i="4"/>
  <c r="S82" i="4"/>
  <c r="I83" i="4"/>
  <c r="J83" i="4"/>
  <c r="K83" i="4"/>
  <c r="L83" i="4"/>
  <c r="M83" i="4"/>
  <c r="N83" i="4"/>
  <c r="O83" i="4"/>
  <c r="P83" i="4"/>
  <c r="Q83" i="4"/>
  <c r="R83" i="4"/>
  <c r="S83" i="4"/>
  <c r="I84" i="4"/>
  <c r="J84" i="4"/>
  <c r="K84" i="4"/>
  <c r="L84" i="4"/>
  <c r="M84" i="4"/>
  <c r="N84" i="4"/>
  <c r="O84" i="4"/>
  <c r="P84" i="4"/>
  <c r="Q84" i="4"/>
  <c r="R84" i="4"/>
  <c r="S84" i="4"/>
  <c r="I85" i="4"/>
  <c r="J85" i="4"/>
  <c r="K85" i="4"/>
  <c r="L85" i="4"/>
  <c r="M85" i="4"/>
  <c r="N85" i="4"/>
  <c r="O85" i="4"/>
  <c r="P85" i="4"/>
  <c r="Q85" i="4"/>
  <c r="R85" i="4"/>
  <c r="S85" i="4"/>
  <c r="I86" i="4"/>
  <c r="J86" i="4"/>
  <c r="K86" i="4"/>
  <c r="L86" i="4"/>
  <c r="M86" i="4"/>
  <c r="N86" i="4"/>
  <c r="O86" i="4"/>
  <c r="P86" i="4"/>
  <c r="Q86" i="4"/>
  <c r="R86" i="4"/>
  <c r="S86" i="4"/>
  <c r="I87" i="4"/>
  <c r="J87" i="4"/>
  <c r="K87" i="4"/>
  <c r="L87" i="4"/>
  <c r="M87" i="4"/>
  <c r="N87" i="4"/>
  <c r="O87" i="4"/>
  <c r="P87" i="4"/>
  <c r="Q87" i="4"/>
  <c r="R87" i="4"/>
  <c r="S87" i="4"/>
  <c r="I88" i="4"/>
  <c r="J88" i="4"/>
  <c r="K88" i="4"/>
  <c r="L88" i="4"/>
  <c r="M88" i="4"/>
  <c r="N88" i="4"/>
  <c r="O88" i="4"/>
  <c r="P88" i="4"/>
  <c r="Q88" i="4"/>
  <c r="R88" i="4"/>
  <c r="S88" i="4"/>
  <c r="I89" i="4"/>
  <c r="J89" i="4"/>
  <c r="K89" i="4"/>
  <c r="L89" i="4"/>
  <c r="M89" i="4"/>
  <c r="N89" i="4"/>
  <c r="O89" i="4"/>
  <c r="P89" i="4"/>
  <c r="Q89" i="4"/>
  <c r="R89" i="4"/>
  <c r="S89" i="4"/>
  <c r="I90" i="4"/>
  <c r="J90" i="4"/>
  <c r="K90" i="4"/>
  <c r="L90" i="4"/>
  <c r="M90" i="4"/>
  <c r="N90" i="4"/>
  <c r="O90" i="4"/>
  <c r="P90" i="4"/>
  <c r="Q90" i="4"/>
  <c r="R90" i="4"/>
  <c r="S90" i="4"/>
  <c r="I91" i="4"/>
  <c r="J91" i="4"/>
  <c r="K91" i="4"/>
  <c r="L91" i="4"/>
  <c r="M91" i="4"/>
  <c r="N91" i="4"/>
  <c r="O91" i="4"/>
  <c r="P91" i="4"/>
  <c r="Q91" i="4"/>
  <c r="R91" i="4"/>
  <c r="S91" i="4"/>
  <c r="I92" i="4"/>
  <c r="J92" i="4"/>
  <c r="K92" i="4"/>
  <c r="L92" i="4"/>
  <c r="M92" i="4"/>
  <c r="N92" i="4"/>
  <c r="O92" i="4"/>
  <c r="P92" i="4"/>
  <c r="Q92" i="4"/>
  <c r="R92" i="4"/>
  <c r="S92" i="4"/>
  <c r="I93" i="4"/>
  <c r="J93" i="4"/>
  <c r="K93" i="4"/>
  <c r="L93" i="4"/>
  <c r="M93" i="4"/>
  <c r="N93" i="4"/>
  <c r="O93" i="4"/>
  <c r="P93" i="4"/>
  <c r="Q93" i="4"/>
  <c r="R93" i="4"/>
  <c r="S93" i="4"/>
  <c r="I94" i="4"/>
  <c r="J94" i="4"/>
  <c r="K94" i="4"/>
  <c r="L94" i="4"/>
  <c r="M94" i="4"/>
  <c r="N94" i="4"/>
  <c r="O94" i="4"/>
  <c r="P94" i="4"/>
  <c r="Q94" i="4"/>
  <c r="R94" i="4"/>
  <c r="S94" i="4"/>
  <c r="I95" i="4"/>
  <c r="J95" i="4"/>
  <c r="K95" i="4"/>
  <c r="L95" i="4"/>
  <c r="M95" i="4"/>
  <c r="N95" i="4"/>
  <c r="O95" i="4"/>
  <c r="P95" i="4"/>
  <c r="Q95" i="4"/>
  <c r="R95" i="4"/>
  <c r="S95" i="4"/>
  <c r="I96" i="4"/>
  <c r="J96" i="4"/>
  <c r="K96" i="4"/>
  <c r="L96" i="4"/>
  <c r="M96" i="4"/>
  <c r="N96" i="4"/>
  <c r="O96" i="4"/>
  <c r="P96" i="4"/>
  <c r="Q96" i="4"/>
  <c r="R96" i="4"/>
  <c r="S96" i="4"/>
  <c r="I97" i="4"/>
  <c r="J97" i="4"/>
  <c r="K97" i="4"/>
  <c r="L97" i="4"/>
  <c r="M97" i="4"/>
  <c r="N97" i="4"/>
  <c r="O97" i="4"/>
  <c r="P97" i="4"/>
  <c r="Q97" i="4"/>
  <c r="R97" i="4"/>
  <c r="S97" i="4"/>
  <c r="I98" i="4"/>
  <c r="J98" i="4"/>
  <c r="K98" i="4"/>
  <c r="L98" i="4"/>
  <c r="M98" i="4"/>
  <c r="N98" i="4"/>
  <c r="O98" i="4"/>
  <c r="P98" i="4"/>
  <c r="Q98" i="4"/>
  <c r="R98" i="4"/>
  <c r="S98" i="4"/>
  <c r="I99" i="4"/>
  <c r="J99" i="4"/>
  <c r="K99" i="4"/>
  <c r="L99" i="4"/>
  <c r="M99" i="4"/>
  <c r="N99" i="4"/>
  <c r="O99" i="4"/>
  <c r="P99" i="4"/>
  <c r="Q99" i="4"/>
  <c r="R99" i="4"/>
  <c r="S99" i="4"/>
  <c r="I100" i="4"/>
  <c r="J100" i="4"/>
  <c r="K100" i="4"/>
  <c r="L100" i="4"/>
  <c r="M100" i="4"/>
  <c r="N100" i="4"/>
  <c r="O100" i="4"/>
  <c r="P100" i="4"/>
  <c r="Q100" i="4"/>
  <c r="R100" i="4"/>
  <c r="S100" i="4"/>
  <c r="I101" i="4"/>
  <c r="J101" i="4"/>
  <c r="K101" i="4"/>
  <c r="L101" i="4"/>
  <c r="M101" i="4"/>
  <c r="N101" i="4"/>
  <c r="O101" i="4"/>
  <c r="P101" i="4"/>
  <c r="Q101" i="4"/>
  <c r="R101" i="4"/>
  <c r="S101" i="4"/>
  <c r="I102" i="4"/>
  <c r="J102" i="4"/>
  <c r="K102" i="4"/>
  <c r="L102" i="4"/>
  <c r="M102" i="4"/>
  <c r="N102" i="4"/>
  <c r="O102" i="4"/>
  <c r="P102" i="4"/>
  <c r="Q102" i="4"/>
  <c r="R102" i="4"/>
  <c r="S102" i="4"/>
  <c r="I103" i="4"/>
  <c r="J103" i="4"/>
  <c r="K103" i="4"/>
  <c r="L103" i="4"/>
  <c r="M103" i="4"/>
  <c r="N103" i="4"/>
  <c r="O103" i="4"/>
  <c r="P103" i="4"/>
  <c r="Q103" i="4"/>
  <c r="R103" i="4"/>
  <c r="S103" i="4"/>
  <c r="I104" i="4"/>
  <c r="J104" i="4"/>
  <c r="K104" i="4"/>
  <c r="L104" i="4"/>
  <c r="M104" i="4"/>
  <c r="N104" i="4"/>
  <c r="O104" i="4"/>
  <c r="P104" i="4"/>
  <c r="Q104" i="4"/>
  <c r="R104" i="4"/>
  <c r="S104" i="4"/>
  <c r="I105" i="4"/>
  <c r="J105" i="4"/>
  <c r="K105" i="4"/>
  <c r="L105" i="4"/>
  <c r="M105" i="4"/>
  <c r="N105" i="4"/>
  <c r="O105" i="4"/>
  <c r="P105" i="4"/>
  <c r="Q105" i="4"/>
  <c r="R105" i="4"/>
  <c r="S105" i="4"/>
  <c r="I106" i="4"/>
  <c r="J106" i="4"/>
  <c r="K106" i="4"/>
  <c r="L106" i="4"/>
  <c r="M106" i="4"/>
  <c r="N106" i="4"/>
  <c r="O106" i="4"/>
  <c r="P106" i="4"/>
  <c r="Q106" i="4"/>
  <c r="R106" i="4"/>
  <c r="S106" i="4"/>
  <c r="I107" i="4"/>
  <c r="J107" i="4"/>
  <c r="K107" i="4"/>
  <c r="L107" i="4"/>
  <c r="M107" i="4"/>
  <c r="N107" i="4"/>
  <c r="O107" i="4"/>
  <c r="P107" i="4"/>
  <c r="Q107" i="4"/>
  <c r="R107" i="4"/>
  <c r="S107" i="4"/>
  <c r="I108" i="4"/>
  <c r="J108" i="4"/>
  <c r="K108" i="4"/>
  <c r="L108" i="4"/>
  <c r="M108" i="4"/>
  <c r="N108" i="4"/>
  <c r="O108" i="4"/>
  <c r="P108" i="4"/>
  <c r="Q108" i="4"/>
  <c r="R108" i="4"/>
  <c r="S108" i="4"/>
  <c r="I109" i="4"/>
  <c r="J109" i="4"/>
  <c r="K109" i="4"/>
  <c r="L109" i="4"/>
  <c r="M109" i="4"/>
  <c r="N109" i="4"/>
  <c r="O109" i="4"/>
  <c r="P109" i="4"/>
  <c r="Q109" i="4"/>
  <c r="R109" i="4"/>
  <c r="S109" i="4"/>
  <c r="I110" i="4"/>
  <c r="J110" i="4"/>
  <c r="K110" i="4"/>
  <c r="L110" i="4"/>
  <c r="M110" i="4"/>
  <c r="N110" i="4"/>
  <c r="O110" i="4"/>
  <c r="P110" i="4"/>
  <c r="Q110" i="4"/>
  <c r="R110" i="4"/>
  <c r="S110" i="4"/>
  <c r="I111" i="4"/>
  <c r="J111" i="4"/>
  <c r="K111" i="4"/>
  <c r="L111" i="4"/>
  <c r="M111" i="4"/>
  <c r="N111" i="4"/>
  <c r="O111" i="4"/>
  <c r="P111" i="4"/>
  <c r="Q111" i="4"/>
  <c r="R111" i="4"/>
  <c r="S111" i="4"/>
  <c r="I3" i="4"/>
  <c r="J3" i="4"/>
  <c r="K3" i="4"/>
  <c r="L3" i="4"/>
  <c r="M3" i="4"/>
  <c r="N3" i="4"/>
  <c r="O3" i="4"/>
  <c r="P3" i="4"/>
  <c r="Q3" i="4"/>
  <c r="R3" i="4"/>
  <c r="S3" i="4"/>
  <c r="I4" i="4"/>
  <c r="J4" i="4"/>
  <c r="K4" i="4"/>
  <c r="L4" i="4"/>
  <c r="M4" i="4"/>
  <c r="N4" i="4"/>
  <c r="O4" i="4"/>
  <c r="P4" i="4"/>
  <c r="Q4" i="4"/>
  <c r="R4" i="4"/>
  <c r="S4" i="4"/>
  <c r="I5" i="4"/>
  <c r="J5" i="4"/>
  <c r="K5" i="4"/>
  <c r="L5" i="4"/>
  <c r="M5" i="4"/>
  <c r="N5" i="4"/>
  <c r="O5" i="4"/>
  <c r="P5" i="4"/>
  <c r="Q5" i="4"/>
  <c r="R5" i="4"/>
  <c r="S5" i="4"/>
  <c r="I6" i="4"/>
  <c r="J6" i="4"/>
  <c r="K6" i="4"/>
  <c r="L6" i="4"/>
  <c r="M6" i="4"/>
  <c r="N6" i="4"/>
  <c r="O6" i="4"/>
  <c r="P6" i="4"/>
  <c r="Q6" i="4"/>
  <c r="R6" i="4"/>
  <c r="S6" i="4"/>
  <c r="I7" i="4"/>
  <c r="J7" i="4"/>
  <c r="K7" i="4"/>
  <c r="L7" i="4"/>
  <c r="M7" i="4"/>
  <c r="N7" i="4"/>
  <c r="O7" i="4"/>
  <c r="P7" i="4"/>
  <c r="Q7" i="4"/>
  <c r="R7" i="4"/>
  <c r="S7" i="4"/>
  <c r="I8" i="4"/>
  <c r="J8" i="4"/>
  <c r="K8" i="4"/>
  <c r="L8" i="4"/>
  <c r="M8" i="4"/>
  <c r="N8" i="4"/>
  <c r="O8" i="4"/>
  <c r="P8" i="4"/>
  <c r="Q8" i="4"/>
  <c r="R8" i="4"/>
  <c r="S8" i="4"/>
  <c r="I9" i="4"/>
  <c r="J9" i="4"/>
  <c r="K9" i="4"/>
  <c r="L9" i="4"/>
  <c r="M9" i="4"/>
  <c r="N9" i="4"/>
  <c r="O9" i="4"/>
  <c r="P9" i="4"/>
  <c r="Q9" i="4"/>
  <c r="R9" i="4"/>
  <c r="S9" i="4"/>
  <c r="I10" i="4"/>
  <c r="J10" i="4"/>
  <c r="K10" i="4"/>
  <c r="L10" i="4"/>
  <c r="M10" i="4"/>
  <c r="N10" i="4"/>
  <c r="O10" i="4"/>
  <c r="P10" i="4"/>
  <c r="Q10" i="4"/>
  <c r="R10" i="4"/>
  <c r="S10" i="4"/>
  <c r="I11" i="4"/>
  <c r="J11" i="4"/>
  <c r="K11" i="4"/>
  <c r="L11" i="4"/>
  <c r="M11" i="4"/>
  <c r="N11" i="4"/>
  <c r="O11" i="4"/>
  <c r="P11" i="4"/>
  <c r="Q11" i="4"/>
  <c r="R11" i="4"/>
  <c r="S11" i="4"/>
  <c r="I12" i="4"/>
  <c r="J12" i="4"/>
  <c r="K12" i="4"/>
  <c r="L12" i="4"/>
  <c r="M12" i="4"/>
  <c r="N12" i="4"/>
  <c r="O12" i="4"/>
  <c r="P12" i="4"/>
  <c r="Q12" i="4"/>
  <c r="R12" i="4"/>
  <c r="S12" i="4"/>
  <c r="I13" i="4"/>
  <c r="J13" i="4"/>
  <c r="K13" i="4"/>
  <c r="L13" i="4"/>
  <c r="M13" i="4"/>
  <c r="N13" i="4"/>
  <c r="O13" i="4"/>
  <c r="P13" i="4"/>
  <c r="Q13" i="4"/>
  <c r="R13" i="4"/>
  <c r="S13" i="4"/>
  <c r="I14" i="4"/>
  <c r="J14" i="4"/>
  <c r="K14" i="4"/>
  <c r="L14" i="4"/>
  <c r="M14" i="4"/>
  <c r="N14" i="4"/>
  <c r="O14" i="4"/>
  <c r="P14" i="4"/>
  <c r="Q14" i="4"/>
  <c r="R14" i="4"/>
  <c r="S14" i="4"/>
  <c r="I15" i="4"/>
  <c r="J15" i="4"/>
  <c r="K15" i="4"/>
  <c r="L15" i="4"/>
  <c r="M15" i="4"/>
  <c r="N15" i="4"/>
  <c r="O15" i="4"/>
  <c r="P15" i="4"/>
  <c r="Q15" i="4"/>
  <c r="R15" i="4"/>
  <c r="S15" i="4"/>
  <c r="I16" i="4"/>
  <c r="J16" i="4"/>
  <c r="K16" i="4"/>
  <c r="L16" i="4"/>
  <c r="M16" i="4"/>
  <c r="N16" i="4"/>
  <c r="O16" i="4"/>
  <c r="P16" i="4"/>
  <c r="Q16" i="4"/>
  <c r="R16" i="4"/>
  <c r="S16" i="4"/>
  <c r="I17" i="4"/>
  <c r="J17" i="4"/>
  <c r="K17" i="4"/>
  <c r="L17" i="4"/>
  <c r="M17" i="4"/>
  <c r="N17" i="4"/>
  <c r="O17" i="4"/>
  <c r="P17" i="4"/>
  <c r="Q17" i="4"/>
  <c r="R17" i="4"/>
  <c r="S17" i="4"/>
  <c r="I18" i="4"/>
  <c r="J18" i="4"/>
  <c r="K18" i="4"/>
  <c r="L18" i="4"/>
  <c r="M18" i="4"/>
  <c r="N18" i="4"/>
  <c r="O18" i="4"/>
  <c r="P18" i="4"/>
  <c r="Q18" i="4"/>
  <c r="R18" i="4"/>
  <c r="S18" i="4"/>
  <c r="I19" i="4"/>
  <c r="J19" i="4"/>
  <c r="K19" i="4"/>
  <c r="L19" i="4"/>
  <c r="M19" i="4"/>
  <c r="N19" i="4"/>
  <c r="O19" i="4"/>
  <c r="P19" i="4"/>
  <c r="Q19" i="4"/>
  <c r="R19" i="4"/>
  <c r="S19" i="4"/>
  <c r="I20" i="4"/>
  <c r="J20" i="4"/>
  <c r="K20" i="4"/>
  <c r="L20" i="4"/>
  <c r="M20" i="4"/>
  <c r="N20" i="4"/>
  <c r="O20" i="4"/>
  <c r="P20" i="4"/>
  <c r="Q20" i="4"/>
  <c r="R20" i="4"/>
  <c r="S20" i="4"/>
  <c r="J2" i="4"/>
  <c r="K2" i="4"/>
  <c r="L2" i="4"/>
  <c r="M2" i="4"/>
  <c r="N2" i="4"/>
  <c r="O2" i="4"/>
  <c r="P2" i="4"/>
  <c r="Q2" i="4"/>
  <c r="R2" i="4"/>
  <c r="S2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2" i="4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67" i="4"/>
  <c r="E67" i="4"/>
  <c r="F67" i="4"/>
  <c r="G67" i="4"/>
  <c r="D68" i="4"/>
  <c r="E68" i="4"/>
  <c r="F68" i="4"/>
  <c r="G68" i="4"/>
  <c r="D69" i="4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D73" i="4"/>
  <c r="E73" i="4"/>
  <c r="F73" i="4"/>
  <c r="G73" i="4"/>
  <c r="D74" i="4"/>
  <c r="E74" i="4"/>
  <c r="F74" i="4"/>
  <c r="G74" i="4"/>
  <c r="D75" i="4"/>
  <c r="E75" i="4"/>
  <c r="F75" i="4"/>
  <c r="G75" i="4"/>
  <c r="D76" i="4"/>
  <c r="E76" i="4"/>
  <c r="F76" i="4"/>
  <c r="G76" i="4"/>
  <c r="D77" i="4"/>
  <c r="E77" i="4"/>
  <c r="F77" i="4"/>
  <c r="G77" i="4"/>
  <c r="D78" i="4"/>
  <c r="E78" i="4"/>
  <c r="F78" i="4"/>
  <c r="G78" i="4"/>
  <c r="D79" i="4"/>
  <c r="E79" i="4"/>
  <c r="F79" i="4"/>
  <c r="G79" i="4"/>
  <c r="D80" i="4"/>
  <c r="E80" i="4"/>
  <c r="F80" i="4"/>
  <c r="G80" i="4"/>
  <c r="D81" i="4"/>
  <c r="E81" i="4"/>
  <c r="F81" i="4"/>
  <c r="G81" i="4"/>
  <c r="D82" i="4"/>
  <c r="E82" i="4"/>
  <c r="F82" i="4"/>
  <c r="G82" i="4"/>
  <c r="D83" i="4"/>
  <c r="E83" i="4"/>
  <c r="F83" i="4"/>
  <c r="G83" i="4"/>
  <c r="D84" i="4"/>
  <c r="E84" i="4"/>
  <c r="F84" i="4"/>
  <c r="G84" i="4"/>
  <c r="D85" i="4"/>
  <c r="E85" i="4"/>
  <c r="F85" i="4"/>
  <c r="G85" i="4"/>
  <c r="D86" i="4"/>
  <c r="E86" i="4"/>
  <c r="F86" i="4"/>
  <c r="G86" i="4"/>
  <c r="D87" i="4"/>
  <c r="E87" i="4"/>
  <c r="F87" i="4"/>
  <c r="G87" i="4"/>
  <c r="D88" i="4"/>
  <c r="E88" i="4"/>
  <c r="F88" i="4"/>
  <c r="G88" i="4"/>
  <c r="D89" i="4"/>
  <c r="E89" i="4"/>
  <c r="F89" i="4"/>
  <c r="G89" i="4"/>
  <c r="D90" i="4"/>
  <c r="E90" i="4"/>
  <c r="F90" i="4"/>
  <c r="G90" i="4"/>
  <c r="D91" i="4"/>
  <c r="E91" i="4"/>
  <c r="F91" i="4"/>
  <c r="G91" i="4"/>
  <c r="D92" i="4"/>
  <c r="E92" i="4"/>
  <c r="F92" i="4"/>
  <c r="G92" i="4"/>
  <c r="D93" i="4"/>
  <c r="E93" i="4"/>
  <c r="F93" i="4"/>
  <c r="G93" i="4"/>
  <c r="D94" i="4"/>
  <c r="E94" i="4"/>
  <c r="F94" i="4"/>
  <c r="G94" i="4"/>
  <c r="D95" i="4"/>
  <c r="E95" i="4"/>
  <c r="F95" i="4"/>
  <c r="G95" i="4"/>
  <c r="D96" i="4"/>
  <c r="E96" i="4"/>
  <c r="F96" i="4"/>
  <c r="G96" i="4"/>
  <c r="D97" i="4"/>
  <c r="E97" i="4"/>
  <c r="F97" i="4"/>
  <c r="G97" i="4"/>
  <c r="D98" i="4"/>
  <c r="E98" i="4"/>
  <c r="F98" i="4"/>
  <c r="G98" i="4"/>
  <c r="D99" i="4"/>
  <c r="E99" i="4"/>
  <c r="F99" i="4"/>
  <c r="G99" i="4"/>
  <c r="D100" i="4"/>
  <c r="E100" i="4"/>
  <c r="F100" i="4"/>
  <c r="G100" i="4"/>
  <c r="D101" i="4"/>
  <c r="E101" i="4"/>
  <c r="F101" i="4"/>
  <c r="G101" i="4"/>
  <c r="D102" i="4"/>
  <c r="E102" i="4"/>
  <c r="F102" i="4"/>
  <c r="G102" i="4"/>
  <c r="D103" i="4"/>
  <c r="E103" i="4"/>
  <c r="F103" i="4"/>
  <c r="G103" i="4"/>
  <c r="D104" i="4"/>
  <c r="E104" i="4"/>
  <c r="F104" i="4"/>
  <c r="G104" i="4"/>
  <c r="D105" i="4"/>
  <c r="E105" i="4"/>
  <c r="F105" i="4"/>
  <c r="G105" i="4"/>
  <c r="D106" i="4"/>
  <c r="E106" i="4"/>
  <c r="F106" i="4"/>
  <c r="G106" i="4"/>
  <c r="D107" i="4"/>
  <c r="E107" i="4"/>
  <c r="F107" i="4"/>
  <c r="G107" i="4"/>
  <c r="D108" i="4"/>
  <c r="E108" i="4"/>
  <c r="F108" i="4"/>
  <c r="G108" i="4"/>
  <c r="D109" i="4"/>
  <c r="E109" i="4"/>
  <c r="F109" i="4"/>
  <c r="G109" i="4"/>
  <c r="D110" i="4"/>
  <c r="E110" i="4"/>
  <c r="F110" i="4"/>
  <c r="G110" i="4"/>
  <c r="D111" i="4"/>
  <c r="E111" i="4"/>
  <c r="F111" i="4"/>
  <c r="G111" i="4"/>
  <c r="E2" i="4"/>
  <c r="F2" i="4"/>
  <c r="G2" i="4"/>
  <c r="D2" i="4"/>
</calcChain>
</file>

<file path=xl/sharedStrings.xml><?xml version="1.0" encoding="utf-8"?>
<sst xmlns="http://schemas.openxmlformats.org/spreadsheetml/2006/main" count="142" uniqueCount="142">
  <si>
    <t>Date</t>
  </si>
  <si>
    <t>Temp</t>
  </si>
  <si>
    <t>pH</t>
  </si>
  <si>
    <t>ORP</t>
  </si>
  <si>
    <t>EC</t>
  </si>
  <si>
    <t>Alkalinity (mg CaCO3/L)</t>
  </si>
  <si>
    <t>Formate (mg/L)</t>
  </si>
  <si>
    <t>Acetate (mg/L)</t>
  </si>
  <si>
    <t>Propionate (mg/L)</t>
  </si>
  <si>
    <t>Butyrate (mg/L)</t>
  </si>
  <si>
    <t>Gas production (L/day)</t>
  </si>
  <si>
    <t>DNA Concentration (ng/uL)</t>
  </si>
  <si>
    <t>CH4 Production (L/day)</t>
  </si>
  <si>
    <t>Isobutyrate (mg/L)</t>
  </si>
  <si>
    <t>SS in reactor</t>
    <phoneticPr fontId="18" type="noConversion"/>
  </si>
  <si>
    <t>SS in effluent</t>
    <phoneticPr fontId="18" type="noConversion"/>
  </si>
  <si>
    <t>HRT (day)</t>
    <phoneticPr fontId="18" type="noConversion"/>
  </si>
  <si>
    <t>H2(%)</t>
    <phoneticPr fontId="18" type="noConversion"/>
  </si>
  <si>
    <t>N2(%)</t>
    <phoneticPr fontId="18" type="noConversion"/>
  </si>
  <si>
    <t>CH4(%)</t>
    <phoneticPr fontId="18" type="noConversion"/>
  </si>
  <si>
    <t>CO2(%)</t>
    <phoneticPr fontId="18" type="noConversion"/>
  </si>
  <si>
    <t>Isovalerate (mg/L)</t>
    <phoneticPr fontId="18" type="noConversion"/>
  </si>
  <si>
    <t>Measured COD (mg/L)</t>
    <phoneticPr fontId="18" type="noConversion"/>
  </si>
  <si>
    <t>Measured COD removal (%)</t>
    <phoneticPr fontId="18" type="noConversion"/>
  </si>
  <si>
    <t>Methane yield(L-CH4/g-COD)</t>
    <phoneticPr fontId="18" type="noConversion"/>
  </si>
  <si>
    <t>Caculate COD (mg/L)</t>
    <phoneticPr fontId="18" type="noConversion"/>
  </si>
  <si>
    <t>SampleID</t>
  </si>
  <si>
    <t>Day</t>
    <phoneticPr fontId="18" type="noConversion"/>
  </si>
  <si>
    <t>Daughter4_D001</t>
  </si>
  <si>
    <t>Daughter4_D002</t>
  </si>
  <si>
    <t>Daughter4_D003</t>
  </si>
  <si>
    <t>Daughter4_D004</t>
  </si>
  <si>
    <t>Daughter4_D005</t>
  </si>
  <si>
    <t>Daughter4_D006</t>
  </si>
  <si>
    <t>Daughter4_D007</t>
  </si>
  <si>
    <t>Daughter4_D008</t>
  </si>
  <si>
    <t>Daughter4_D009</t>
  </si>
  <si>
    <t>Daughter4_D010</t>
  </si>
  <si>
    <t>Daughter4_D011</t>
  </si>
  <si>
    <t>Daughter4_D012</t>
  </si>
  <si>
    <t>Daughter4_D013</t>
  </si>
  <si>
    <t>Daughter4_D014</t>
  </si>
  <si>
    <t>Daughter4_D015</t>
  </si>
  <si>
    <t>Daughter4_D016</t>
  </si>
  <si>
    <t>Daughter4_D017</t>
  </si>
  <si>
    <t>Daughter4_D018</t>
  </si>
  <si>
    <t>Daughter4_D019</t>
  </si>
  <si>
    <t>Daughter4_D020</t>
  </si>
  <si>
    <t>Daughter4_D021</t>
  </si>
  <si>
    <t>Daughter4_D022</t>
  </si>
  <si>
    <t>Daughter4_D023</t>
  </si>
  <si>
    <t>Daughter4_D024</t>
  </si>
  <si>
    <t>Daughter4_D025</t>
  </si>
  <si>
    <t>Daughter4_D026</t>
  </si>
  <si>
    <t>Daughter4_D027</t>
  </si>
  <si>
    <t>Daughter4_D028</t>
  </si>
  <si>
    <t>Daughter4_D029</t>
  </si>
  <si>
    <t>Daughter4_D030</t>
  </si>
  <si>
    <t>Daughter4_D031</t>
  </si>
  <si>
    <t>Daughter4_D032</t>
  </si>
  <si>
    <t>Daughter4_D033</t>
  </si>
  <si>
    <t>Daughter4_D034</t>
  </si>
  <si>
    <t>Daughter4_D035</t>
  </si>
  <si>
    <t>Daughter4_D036</t>
  </si>
  <si>
    <t>Daughter4_D037</t>
  </si>
  <si>
    <t>Daughter4_D038</t>
  </si>
  <si>
    <t>Daughter4_D039</t>
  </si>
  <si>
    <t>Daughter4_D040</t>
  </si>
  <si>
    <t>Daughter4_D041</t>
  </si>
  <si>
    <t>Daughter4_D042</t>
  </si>
  <si>
    <t>Daughter4_D043</t>
  </si>
  <si>
    <t>Daughter4_D044</t>
  </si>
  <si>
    <t>Daughter4_D045</t>
  </si>
  <si>
    <t>Daughter4_D046</t>
  </si>
  <si>
    <t>Daughter4_D047</t>
  </si>
  <si>
    <t>Daughter4_D048</t>
  </si>
  <si>
    <t>Daughter4_D049</t>
  </si>
  <si>
    <t>Daughter4_D050</t>
  </si>
  <si>
    <t>Daughter4_D051</t>
  </si>
  <si>
    <t>Daughter4_D052</t>
  </si>
  <si>
    <t>Daughter4_D053</t>
  </si>
  <si>
    <t>Daughter4_D054</t>
  </si>
  <si>
    <t>Daughter4_D055</t>
  </si>
  <si>
    <t>Daughter4_D056</t>
  </si>
  <si>
    <t>Daughter4_D057</t>
  </si>
  <si>
    <t>Daughter4_D058</t>
  </si>
  <si>
    <t>Daughter4_D059</t>
  </si>
  <si>
    <t>Daughter4_D060</t>
  </si>
  <si>
    <t>Daughter4_D061</t>
  </si>
  <si>
    <t>Daughter4_D062</t>
  </si>
  <si>
    <t>Daughter4_D063</t>
  </si>
  <si>
    <t>Daughter4_D064</t>
  </si>
  <si>
    <t>Daughter4_D065</t>
  </si>
  <si>
    <t>Daughter4_D066</t>
  </si>
  <si>
    <t>Daughter4_D067</t>
  </si>
  <si>
    <t>Daughter4_D068</t>
  </si>
  <si>
    <t>Daughter4_D069</t>
  </si>
  <si>
    <t>Daughter4_D070</t>
  </si>
  <si>
    <t>Daughter4_D071</t>
  </si>
  <si>
    <t>Daughter4_D072</t>
  </si>
  <si>
    <t>Daughter4_D073</t>
  </si>
  <si>
    <t>Daughter4_D074</t>
  </si>
  <si>
    <t>Daughter4_D075</t>
  </si>
  <si>
    <t>Daughter4_D076</t>
  </si>
  <si>
    <t>Daughter4_D077</t>
  </si>
  <si>
    <t>Daughter4_D078</t>
  </si>
  <si>
    <t>Daughter4_D079</t>
  </si>
  <si>
    <t>Daughter4_D080</t>
  </si>
  <si>
    <t>Daughter4_D081</t>
  </si>
  <si>
    <t>Daughter4_D082</t>
  </si>
  <si>
    <t>Daughter4_D083</t>
  </si>
  <si>
    <t>Daughter4_D084</t>
  </si>
  <si>
    <t>Daughter4_D085</t>
  </si>
  <si>
    <t>Daughter4_D086</t>
  </si>
  <si>
    <t>Daughter4_D087</t>
  </si>
  <si>
    <t>Daughter4_D088</t>
  </si>
  <si>
    <t>Daughter4_D089</t>
  </si>
  <si>
    <t>Daughter4_D090</t>
  </si>
  <si>
    <t>Daughter4_D091</t>
  </si>
  <si>
    <t>Daughter4_D092</t>
  </si>
  <si>
    <t>Daughter4_D093</t>
  </si>
  <si>
    <t>Daughter4_D094</t>
  </si>
  <si>
    <t>Daughter4_D095</t>
  </si>
  <si>
    <t>Daughter4_D096</t>
  </si>
  <si>
    <t>Daughter4_D097</t>
  </si>
  <si>
    <t>Daughter4_D098</t>
  </si>
  <si>
    <t>Daughter4_D099</t>
  </si>
  <si>
    <t>Daughter4_D100</t>
  </si>
  <si>
    <t>Daughter4_D101</t>
  </si>
  <si>
    <t>Daughter4_D102</t>
  </si>
  <si>
    <t>Daughter4_D103</t>
  </si>
  <si>
    <t>Daughter4_D104</t>
  </si>
  <si>
    <t>Daughter4_D105</t>
  </si>
  <si>
    <t>Daughter4_D106</t>
  </si>
  <si>
    <t>Daughter4_D107</t>
  </si>
  <si>
    <t>Daughter4_D108</t>
  </si>
  <si>
    <t>Daughter4_D109</t>
  </si>
  <si>
    <t>Daughter4_D110</t>
  </si>
  <si>
    <t>COD Loading (g-COD/L/day)</t>
    <phoneticPr fontId="18" type="noConversion"/>
  </si>
  <si>
    <t>Methane yield normalized  by carbon input(L-CH4/g-COD)</t>
  </si>
  <si>
    <t>Calculated COD removal (%)</t>
    <phoneticPr fontId="18" type="noConversion"/>
  </si>
  <si>
    <t>Calculated COD/Measured COD (mg/L)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</si>
</sst>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"/>
    <numFmt numFmtId="166" formatCode="0.0000"/>
  </numFmts>
  <fonts count="20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MFT~2020\&#35336;&#30059;\&#35613;&#24535;&#35946;&#35336;&#30059;\&#31532;&#20108;&#24180;&#23376;&#27133;\&#23376;&#27133;&#30331;&#35352;&#34920;-NEW-&#21482;&#26377;&#30331;&#35352;&#34920;_20240516_analysis_C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版數據登記表"/>
      <sheetName val="鹼度"/>
      <sheetName val="流量 (無修正)"/>
      <sheetName val="PLC-DATA (倪新WRONG)"/>
      <sheetName val="PLC-DATA -Emily"/>
      <sheetName val="流量"/>
      <sheetName val="IC"/>
      <sheetName val="COD"/>
      <sheetName val="SS"/>
      <sheetName val="methane_yield"/>
      <sheetName val="氣體產量"/>
      <sheetName val="HPLC"/>
      <sheetName val="GC-TCD (7-Day)"/>
      <sheetName val="GC-TCD"/>
      <sheetName val="env"/>
      <sheetName val="PLC-DATA"/>
      <sheetName val="env-PLC (7-day)"/>
      <sheetName val="env-PLC"/>
      <sheetName val="圖表統整"/>
      <sheetName val="圖表統整 (for Net Zero)"/>
    </sheetNames>
    <sheetDataSet>
      <sheetData sheetId="0"/>
      <sheetData sheetId="1">
        <row r="5">
          <cell r="I5">
            <v>1419.1</v>
          </cell>
          <cell r="L5">
            <v>1407.7</v>
          </cell>
        </row>
        <row r="6">
          <cell r="L6">
            <v>1482.35</v>
          </cell>
        </row>
        <row r="7">
          <cell r="L7">
            <v>1508.65</v>
          </cell>
        </row>
        <row r="8">
          <cell r="L8">
            <v>1536.65</v>
          </cell>
        </row>
        <row r="9">
          <cell r="L9">
            <v>1493.35</v>
          </cell>
        </row>
        <row r="10">
          <cell r="L10">
            <v>1537.65</v>
          </cell>
        </row>
        <row r="11">
          <cell r="L11">
            <v>1515.6</v>
          </cell>
        </row>
        <row r="12">
          <cell r="L12">
            <v>1470.2500000000002</v>
          </cell>
        </row>
        <row r="13">
          <cell r="L13">
            <v>1488.05</v>
          </cell>
        </row>
        <row r="14">
          <cell r="L14">
            <v>1458.15</v>
          </cell>
        </row>
        <row r="15">
          <cell r="L15">
            <v>1469.3</v>
          </cell>
        </row>
        <row r="16">
          <cell r="L16">
            <v>1454</v>
          </cell>
        </row>
        <row r="17">
          <cell r="L17">
            <v>1466.6000000000001</v>
          </cell>
        </row>
        <row r="18">
          <cell r="L18">
            <v>1456.2</v>
          </cell>
        </row>
        <row r="19">
          <cell r="L19">
            <v>1458.1</v>
          </cell>
        </row>
        <row r="20">
          <cell r="L20">
            <v>1466.8500000000001</v>
          </cell>
        </row>
        <row r="21">
          <cell r="L21">
            <v>1500.4500000000003</v>
          </cell>
        </row>
        <row r="22">
          <cell r="L22">
            <v>1472.4500000000003</v>
          </cell>
        </row>
        <row r="23">
          <cell r="L23">
            <v>1497.25</v>
          </cell>
        </row>
        <row r="24">
          <cell r="L24">
            <v>1532.15</v>
          </cell>
        </row>
        <row r="25">
          <cell r="L25">
            <v>1536.05</v>
          </cell>
        </row>
        <row r="26">
          <cell r="L26">
            <v>1535.05</v>
          </cell>
        </row>
        <row r="27">
          <cell r="L27">
            <v>1535.05</v>
          </cell>
        </row>
        <row r="28">
          <cell r="L28">
            <v>1556.6000000000001</v>
          </cell>
        </row>
        <row r="29">
          <cell r="L29">
            <v>1552.9500000000003</v>
          </cell>
        </row>
        <row r="30">
          <cell r="L30">
            <v>1568.7000000000003</v>
          </cell>
        </row>
        <row r="31">
          <cell r="L31">
            <v>1575.25</v>
          </cell>
        </row>
        <row r="32">
          <cell r="L32">
            <v>1499.45</v>
          </cell>
        </row>
        <row r="33">
          <cell r="L33">
            <v>1514.35</v>
          </cell>
        </row>
        <row r="34">
          <cell r="L34">
            <v>1521.5</v>
          </cell>
        </row>
        <row r="35">
          <cell r="L35">
            <v>1530.35</v>
          </cell>
        </row>
        <row r="36">
          <cell r="L36">
            <v>1528.9</v>
          </cell>
        </row>
        <row r="37">
          <cell r="L37">
            <v>1467.8000000000002</v>
          </cell>
        </row>
        <row r="38">
          <cell r="L38">
            <v>1514.5</v>
          </cell>
        </row>
        <row r="39">
          <cell r="L39">
            <v>1525.15</v>
          </cell>
        </row>
        <row r="40">
          <cell r="L40">
            <v>1501.3000000000002</v>
          </cell>
        </row>
        <row r="41">
          <cell r="L41">
            <v>1504.65</v>
          </cell>
        </row>
        <row r="42">
          <cell r="L42">
            <v>1468.2999999999997</v>
          </cell>
        </row>
        <row r="43">
          <cell r="L43">
            <v>1472</v>
          </cell>
        </row>
        <row r="44">
          <cell r="L44">
            <v>1457</v>
          </cell>
        </row>
        <row r="45">
          <cell r="L45">
            <v>1478.9</v>
          </cell>
        </row>
        <row r="46">
          <cell r="L46">
            <v>1494.3500000000001</v>
          </cell>
        </row>
        <row r="47">
          <cell r="L47">
            <v>1480.7</v>
          </cell>
        </row>
        <row r="48">
          <cell r="L48">
            <v>1507.2</v>
          </cell>
        </row>
        <row r="49">
          <cell r="L49">
            <v>1531.75</v>
          </cell>
        </row>
        <row r="50">
          <cell r="L50">
            <v>1532.25</v>
          </cell>
        </row>
        <row r="51">
          <cell r="L51">
            <v>1578.7499999999998</v>
          </cell>
        </row>
        <row r="52">
          <cell r="L52">
            <v>1600.0499999999997</v>
          </cell>
        </row>
        <row r="53">
          <cell r="L53">
            <v>1606.6500000000003</v>
          </cell>
        </row>
        <row r="54">
          <cell r="L54">
            <v>1579.4</v>
          </cell>
        </row>
        <row r="55">
          <cell r="L55">
            <v>1527.8</v>
          </cell>
        </row>
        <row r="56">
          <cell r="L56">
            <v>1588.95</v>
          </cell>
        </row>
        <row r="57">
          <cell r="L57">
            <v>1595.3</v>
          </cell>
        </row>
        <row r="58">
          <cell r="L58">
            <v>1550.9499999999998</v>
          </cell>
        </row>
        <row r="59">
          <cell r="L59">
            <v>1516.6000000000001</v>
          </cell>
        </row>
        <row r="60">
          <cell r="L60">
            <v>1531.0000000000002</v>
          </cell>
        </row>
        <row r="61">
          <cell r="L61">
            <v>1556.95</v>
          </cell>
        </row>
        <row r="62">
          <cell r="L62">
            <v>1520.05</v>
          </cell>
        </row>
        <row r="63">
          <cell r="L63">
            <v>1562.8</v>
          </cell>
        </row>
        <row r="64">
          <cell r="L64">
            <v>1517.8</v>
          </cell>
        </row>
        <row r="65">
          <cell r="L65">
            <v>1499.7</v>
          </cell>
        </row>
        <row r="66">
          <cell r="L66">
            <v>1523.7500000000002</v>
          </cell>
        </row>
        <row r="67">
          <cell r="L67">
            <v>1512.8</v>
          </cell>
        </row>
        <row r="68">
          <cell r="L68">
            <v>1486.3000000000002</v>
          </cell>
        </row>
        <row r="69">
          <cell r="L69">
            <v>1491.2</v>
          </cell>
        </row>
        <row r="70">
          <cell r="L70">
            <v>1500.1</v>
          </cell>
        </row>
        <row r="71">
          <cell r="L71">
            <v>1471.1000000000001</v>
          </cell>
        </row>
        <row r="72">
          <cell r="L72">
            <v>1513.65</v>
          </cell>
        </row>
        <row r="73">
          <cell r="L73">
            <v>1500.7500000000002</v>
          </cell>
        </row>
        <row r="74">
          <cell r="L74">
            <v>1526.75</v>
          </cell>
        </row>
        <row r="75">
          <cell r="L75">
            <v>1521.0499999999997</v>
          </cell>
        </row>
        <row r="76">
          <cell r="L76">
            <v>1590.3500000000001</v>
          </cell>
        </row>
        <row r="77">
          <cell r="L77">
            <v>1579.15</v>
          </cell>
        </row>
        <row r="78">
          <cell r="L78">
            <v>1572.4500000000003</v>
          </cell>
        </row>
        <row r="79">
          <cell r="L79">
            <v>1523.5499999999997</v>
          </cell>
        </row>
        <row r="80">
          <cell r="L80">
            <v>1558.7</v>
          </cell>
        </row>
        <row r="81">
          <cell r="L81">
            <v>1580.25</v>
          </cell>
        </row>
        <row r="82">
          <cell r="L82">
            <v>1546.65</v>
          </cell>
        </row>
        <row r="83">
          <cell r="L83">
            <v>1499.3</v>
          </cell>
        </row>
        <row r="84">
          <cell r="L84">
            <v>1528.2000000000003</v>
          </cell>
        </row>
        <row r="85">
          <cell r="L85">
            <v>1507.4500000000003</v>
          </cell>
        </row>
        <row r="86">
          <cell r="L86">
            <v>1523.3000000000002</v>
          </cell>
        </row>
        <row r="87">
          <cell r="L87">
            <v>1550.8</v>
          </cell>
        </row>
        <row r="88">
          <cell r="L88">
            <v>1555.6</v>
          </cell>
        </row>
        <row r="89">
          <cell r="L89">
            <v>1565.4</v>
          </cell>
        </row>
        <row r="90">
          <cell r="L90">
            <v>1532.9</v>
          </cell>
        </row>
        <row r="91">
          <cell r="L91">
            <v>1528.7</v>
          </cell>
        </row>
        <row r="92">
          <cell r="L92">
            <v>1511.95</v>
          </cell>
        </row>
        <row r="93">
          <cell r="L93">
            <v>1547.9499999999998</v>
          </cell>
        </row>
        <row r="94">
          <cell r="L94">
            <v>1486.4</v>
          </cell>
        </row>
        <row r="95">
          <cell r="L95">
            <v>1485.6</v>
          </cell>
        </row>
        <row r="96">
          <cell r="L96">
            <v>1476.55</v>
          </cell>
        </row>
        <row r="97">
          <cell r="L97">
            <v>1456.5</v>
          </cell>
        </row>
        <row r="98">
          <cell r="L98">
            <v>1432.1999999999998</v>
          </cell>
        </row>
        <row r="99">
          <cell r="L99">
            <v>1442.65</v>
          </cell>
        </row>
        <row r="100">
          <cell r="L100">
            <v>1472.9</v>
          </cell>
        </row>
        <row r="101">
          <cell r="L101">
            <v>1473.0000000000002</v>
          </cell>
        </row>
        <row r="102">
          <cell r="L102">
            <v>1492.25</v>
          </cell>
        </row>
        <row r="103">
          <cell r="L103">
            <v>1448.0000000000002</v>
          </cell>
        </row>
        <row r="104">
          <cell r="L104">
            <v>1405.9</v>
          </cell>
        </row>
        <row r="105">
          <cell r="L105">
            <v>1425.0500000000002</v>
          </cell>
        </row>
        <row r="106">
          <cell r="L106">
            <v>1420.45</v>
          </cell>
        </row>
        <row r="107">
          <cell r="L107">
            <v>1398.45</v>
          </cell>
        </row>
        <row r="108">
          <cell r="L108">
            <v>1442.1</v>
          </cell>
        </row>
        <row r="109">
          <cell r="L109">
            <v>1470.7</v>
          </cell>
        </row>
        <row r="110">
          <cell r="L110">
            <v>1426.3999999999999</v>
          </cell>
        </row>
        <row r="111">
          <cell r="L111">
            <v>1468.6</v>
          </cell>
        </row>
        <row r="112">
          <cell r="L112">
            <v>1481.15</v>
          </cell>
        </row>
        <row r="113">
          <cell r="L113">
            <v>1460.6</v>
          </cell>
        </row>
        <row r="114">
          <cell r="L114">
            <v>1493.2</v>
          </cell>
        </row>
      </sheetData>
      <sheetData sheetId="2"/>
      <sheetData sheetId="3"/>
      <sheetData sheetId="4"/>
      <sheetData sheetId="5">
        <row r="5">
          <cell r="AC5">
            <v>2</v>
          </cell>
          <cell r="AF5">
            <v>2</v>
          </cell>
          <cell r="AN5">
            <v>1.1200000000000001</v>
          </cell>
        </row>
        <row r="6">
          <cell r="AF6">
            <v>2.0434995765931441</v>
          </cell>
          <cell r="AN6">
            <v>1.0775596196025887</v>
          </cell>
        </row>
        <row r="7">
          <cell r="AF7">
            <v>2.0463975858205155</v>
          </cell>
          <cell r="AN7">
            <v>1.1093936395741464</v>
          </cell>
        </row>
        <row r="8">
          <cell r="AF8">
            <v>2.0499108734299094</v>
          </cell>
          <cell r="AN8">
            <v>1.1268635097513133</v>
          </cell>
        </row>
        <row r="9">
          <cell r="AF9">
            <v>2.0901476855961567</v>
          </cell>
          <cell r="AN9">
            <v>1.1055185694686829</v>
          </cell>
        </row>
        <row r="10">
          <cell r="AF10">
            <v>2.0655959752243143</v>
          </cell>
          <cell r="AN10">
            <v>1.1012511013153736</v>
          </cell>
        </row>
        <row r="11">
          <cell r="AF11">
            <v>2.0571983273565753</v>
          </cell>
          <cell r="AN11">
            <v>1.1909565217408529</v>
          </cell>
        </row>
        <row r="12">
          <cell r="AF12">
            <v>2.0202020201904993</v>
          </cell>
          <cell r="AN12">
            <v>1.0412307692309357</v>
          </cell>
        </row>
        <row r="13">
          <cell r="AF13">
            <v>2.1784727088849039</v>
          </cell>
          <cell r="AN13">
            <v>1.1299193655012691</v>
          </cell>
        </row>
        <row r="14">
          <cell r="AF14">
            <v>2.0954810495626819</v>
          </cell>
          <cell r="AN14">
            <v>1.0912820512836801</v>
          </cell>
        </row>
        <row r="15">
          <cell r="AF15">
            <v>2.1128608923978089</v>
          </cell>
          <cell r="AN15">
            <v>1.0969316650709178</v>
          </cell>
        </row>
        <row r="16">
          <cell r="AF16">
            <v>2.0984557358499134</v>
          </cell>
          <cell r="AN16">
            <v>1.1195140997808186</v>
          </cell>
        </row>
        <row r="17">
          <cell r="AF17">
            <v>2.1682653876879323</v>
          </cell>
          <cell r="AN17">
            <v>1.115704109587262</v>
          </cell>
        </row>
        <row r="18">
          <cell r="AF18">
            <v>2.0846652175731371</v>
          </cell>
          <cell r="AN18">
            <v>1.2939369627476951</v>
          </cell>
        </row>
        <row r="19">
          <cell r="AF19">
            <v>2.0838039835760487</v>
          </cell>
          <cell r="AN19">
            <v>0.92044747612492683</v>
          </cell>
        </row>
        <row r="20">
          <cell r="AF20">
            <v>2.1059471466515438</v>
          </cell>
          <cell r="AN20">
            <v>1.1102065116230981</v>
          </cell>
        </row>
        <row r="21">
          <cell r="AF21">
            <v>2.1914678387065978</v>
          </cell>
          <cell r="AN21">
            <v>1.10238202247173</v>
          </cell>
        </row>
        <row r="22">
          <cell r="AF22">
            <v>2.1861088398130044</v>
          </cell>
          <cell r="AN22">
            <v>1.1096903765760644</v>
          </cell>
        </row>
        <row r="23">
          <cell r="AF23">
            <v>2.1499548328710802</v>
          </cell>
          <cell r="AN23">
            <v>1.1046575342448139</v>
          </cell>
        </row>
        <row r="24">
          <cell r="AF24">
            <v>2.2945441169442375</v>
          </cell>
          <cell r="AN24">
            <v>1.1093936395741464</v>
          </cell>
        </row>
        <row r="25">
          <cell r="AF25"/>
          <cell r="AN25">
            <v>0.54869724770451744</v>
          </cell>
        </row>
        <row r="26">
          <cell r="AF26">
            <v>1.9029931093872048</v>
          </cell>
          <cell r="AN26">
            <v>1.1680445682472087</v>
          </cell>
        </row>
        <row r="27">
          <cell r="AF27">
            <v>2.0853462157875597</v>
          </cell>
          <cell r="AN27">
            <v>1.061326451611309</v>
          </cell>
        </row>
        <row r="28">
          <cell r="AF28">
            <v>2.1774848619005605</v>
          </cell>
          <cell r="AN28">
            <v>1.1007463312352856</v>
          </cell>
        </row>
        <row r="29">
          <cell r="AF29">
            <v>2.1933190096147466</v>
          </cell>
          <cell r="AN29">
            <v>1.0850642201847343</v>
          </cell>
        </row>
        <row r="30">
          <cell r="AF30">
            <v>2.1814880251296009</v>
          </cell>
          <cell r="AN30">
            <v>1.0913684210447165</v>
          </cell>
        </row>
        <row r="31">
          <cell r="AF31">
            <v>2.226368159206876</v>
          </cell>
          <cell r="AN31">
            <v>1.1196748911490486</v>
          </cell>
        </row>
        <row r="32">
          <cell r="AF32">
            <v>2.0852583352610807</v>
          </cell>
          <cell r="AN32">
            <v>1.1390732673241069</v>
          </cell>
        </row>
        <row r="33">
          <cell r="AF33">
            <v>2.234909938018236</v>
          </cell>
          <cell r="AN33">
            <v>1.0737391304351223</v>
          </cell>
        </row>
        <row r="34">
          <cell r="AF34">
            <v>2.2502670940062113</v>
          </cell>
          <cell r="AN34">
            <v>1.0940631578947368</v>
          </cell>
        </row>
        <row r="35">
          <cell r="AF35">
            <v>2.2314908437380128</v>
          </cell>
          <cell r="AN35">
            <v>1.0603031784774681</v>
          </cell>
        </row>
        <row r="36">
          <cell r="AF36">
            <v>2.2249337189733365</v>
          </cell>
          <cell r="AN36">
            <v>1.2636812749062594</v>
          </cell>
        </row>
        <row r="37">
          <cell r="AF37">
            <v>2.2482369186803517</v>
          </cell>
          <cell r="AN37">
            <v>1.1416396866792151</v>
          </cell>
        </row>
        <row r="38">
          <cell r="AF38">
            <v>2.2617052610129784</v>
          </cell>
          <cell r="AN38">
            <v>1.0532571428600028</v>
          </cell>
        </row>
        <row r="39">
          <cell r="AF39">
            <v>2.4461735832181395</v>
          </cell>
          <cell r="AN39">
            <v>1.1530491803240182</v>
          </cell>
        </row>
        <row r="40">
          <cell r="AF40">
            <v>2.2338085699597556</v>
          </cell>
          <cell r="AN40">
            <v>1.0648343558284383</v>
          </cell>
        </row>
        <row r="41">
          <cell r="AF41">
            <v>2.273307152985633</v>
          </cell>
          <cell r="AN41">
            <v>1.1001859070462847</v>
          </cell>
        </row>
        <row r="42">
          <cell r="AF42">
            <v>2.247838966592429</v>
          </cell>
          <cell r="AN42">
            <v>1.1031463748302313</v>
          </cell>
        </row>
        <row r="43">
          <cell r="AF43">
            <v>2.3782121306488007</v>
          </cell>
          <cell r="AN43">
            <v>1.1001518987309349</v>
          </cell>
        </row>
        <row r="44">
          <cell r="AF44">
            <v>2.2806583422047564</v>
          </cell>
          <cell r="AN44">
            <v>1.1036325678491503</v>
          </cell>
        </row>
        <row r="45">
          <cell r="AF45">
            <v>2.2854477611777404</v>
          </cell>
          <cell r="AN45">
            <v>1.0740388768887685</v>
          </cell>
        </row>
        <row r="46">
          <cell r="AF46">
            <v>2.4810697599615743</v>
          </cell>
          <cell r="AN46">
            <v>1.119585951941332</v>
          </cell>
        </row>
        <row r="47">
          <cell r="AF47">
            <v>2.3014233241559419</v>
          </cell>
          <cell r="AN47">
            <v>1.0892091205170424</v>
          </cell>
        </row>
        <row r="48">
          <cell r="AF48">
            <v>2.2910152178398144</v>
          </cell>
          <cell r="AN48">
            <v>1.1134219474535747</v>
          </cell>
        </row>
        <row r="49">
          <cell r="AF49">
            <v>2.3000081380324389</v>
          </cell>
          <cell r="AN49">
            <v>1.1011084337351216</v>
          </cell>
        </row>
        <row r="50">
          <cell r="AF50">
            <v>2.3023884930103717</v>
          </cell>
          <cell r="AN50">
            <v>1.0984615384498573</v>
          </cell>
        </row>
        <row r="51">
          <cell r="AF51"/>
          <cell r="AN51">
            <v>2.1627169811368261</v>
          </cell>
        </row>
        <row r="52">
          <cell r="AF52">
            <v>2.2504729764273566</v>
          </cell>
          <cell r="AN52">
            <v>1.1125903307907818</v>
          </cell>
        </row>
        <row r="53">
          <cell r="AF53">
            <v>2.2310323382878696</v>
          </cell>
          <cell r="AN53">
            <v>1.0867924528325761</v>
          </cell>
        </row>
        <row r="54">
          <cell r="AF54">
            <v>2.2627618534906735</v>
          </cell>
          <cell r="AN54">
            <v>1.0949702970304243</v>
          </cell>
        </row>
        <row r="55">
          <cell r="AF55">
            <v>2.2574626865845397</v>
          </cell>
          <cell r="AN55">
            <v>1.1156804407627627</v>
          </cell>
        </row>
        <row r="56">
          <cell r="AF56">
            <v>3.8538860315011343</v>
          </cell>
          <cell r="AN56">
            <v>1.0797623762383348</v>
          </cell>
        </row>
        <row r="57">
          <cell r="AF57">
            <v>2.2276642059382903</v>
          </cell>
          <cell r="AN57">
            <v>1.1049795918380474</v>
          </cell>
        </row>
        <row r="58">
          <cell r="AF58">
            <v>2.3166588565929902</v>
          </cell>
          <cell r="AN58">
            <v>1.1003076923078685</v>
          </cell>
        </row>
        <row r="59">
          <cell r="AF59">
            <v>2.7003145241743027</v>
          </cell>
          <cell r="AN59">
            <v>1.1096370106752373</v>
          </cell>
        </row>
        <row r="60">
          <cell r="AF60">
            <v>2.3213584609424314</v>
          </cell>
          <cell r="AN60">
            <v>1.1272258064473799</v>
          </cell>
        </row>
        <row r="61">
          <cell r="AF61">
            <v>2.308574127844687</v>
          </cell>
          <cell r="AN61">
            <v>1.1026740331532494</v>
          </cell>
        </row>
        <row r="62">
          <cell r="AF62">
            <v>2.386881510417993</v>
          </cell>
          <cell r="AN62">
            <v>0.46670377733447194</v>
          </cell>
        </row>
        <row r="63">
          <cell r="AF63">
            <v>2.3520738204129037</v>
          </cell>
          <cell r="AN63">
            <v>1.3787586206889635</v>
          </cell>
        </row>
        <row r="64">
          <cell r="AF64">
            <v>2.197240343786794</v>
          </cell>
          <cell r="AN64">
            <v>1.0985580448044336</v>
          </cell>
        </row>
        <row r="65">
          <cell r="AF65">
            <v>2.297224720223312</v>
          </cell>
          <cell r="AN65">
            <v>1.0534787878787881</v>
          </cell>
        </row>
        <row r="66">
          <cell r="AF66">
            <v>2.2316132858777067</v>
          </cell>
          <cell r="AN66">
            <v>1.1443960396033011</v>
          </cell>
        </row>
        <row r="67">
          <cell r="AF67">
            <v>2.2568664169645336</v>
          </cell>
          <cell r="AN67">
            <v>1.1263383503930673</v>
          </cell>
        </row>
        <row r="68">
          <cell r="AF68">
            <v>2.4305555555537213</v>
          </cell>
          <cell r="AN68">
            <v>1.1139130434786133</v>
          </cell>
        </row>
        <row r="69">
          <cell r="AF69">
            <v>2.296173878201047</v>
          </cell>
          <cell r="AN69">
            <v>1.0476699857719527</v>
          </cell>
        </row>
        <row r="70">
          <cell r="AF70">
            <v>2.2585703549496192</v>
          </cell>
          <cell r="AN70">
            <v>1.0500785046740397</v>
          </cell>
        </row>
        <row r="71">
          <cell r="AF71">
            <v>2.2467320261661698</v>
          </cell>
          <cell r="AN71">
            <v>1.1033711790437888</v>
          </cell>
        </row>
        <row r="72">
          <cell r="AF72">
            <v>2.4167298697989668</v>
          </cell>
          <cell r="AN72">
            <v>0.42394017674856393</v>
          </cell>
        </row>
        <row r="73">
          <cell r="AF73">
            <v>2.3906681959890705</v>
          </cell>
          <cell r="AN73">
            <v>0.47715976331500642</v>
          </cell>
        </row>
        <row r="74">
          <cell r="AF74">
            <v>1.867061372261241</v>
          </cell>
          <cell r="AN74">
            <v>1.1146052356007357</v>
          </cell>
        </row>
        <row r="75">
          <cell r="AF75">
            <v>1.9661724608078346</v>
          </cell>
          <cell r="AN75">
            <v>1.3514090407910508</v>
          </cell>
        </row>
        <row r="76">
          <cell r="AF76">
            <v>1.9721694127579057</v>
          </cell>
          <cell r="AN76">
            <v>0.96746012270353243</v>
          </cell>
        </row>
        <row r="77">
          <cell r="AF77">
            <v>2.0169277867732065</v>
          </cell>
          <cell r="AN77">
            <v>0.97051521298082788</v>
          </cell>
        </row>
        <row r="78">
          <cell r="AF78">
            <v>2.0276399797877569</v>
          </cell>
          <cell r="AN78">
            <v>1.1146239999948098</v>
          </cell>
        </row>
        <row r="79">
          <cell r="AF79">
            <v>2.2475385164846657</v>
          </cell>
          <cell r="AN79">
            <v>1.096267053703424</v>
          </cell>
        </row>
        <row r="80">
          <cell r="AF80">
            <v>2.1196948021001787</v>
          </cell>
          <cell r="AN80">
            <v>0.61268379887949387</v>
          </cell>
        </row>
        <row r="81">
          <cell r="AF81">
            <v>1.8682994662038079</v>
          </cell>
          <cell r="AN81">
            <v>0.5879999999993889</v>
          </cell>
        </row>
        <row r="82">
          <cell r="AF82">
            <v>2.0440510724475196</v>
          </cell>
          <cell r="AN82" t="str">
            <v/>
          </cell>
        </row>
        <row r="83">
          <cell r="AF83">
            <v>3.1593282910101976</v>
          </cell>
          <cell r="AN83">
            <v>1.0738276962383539</v>
          </cell>
        </row>
        <row r="84">
          <cell r="AF84">
            <v>2.0788294374679936</v>
          </cell>
          <cell r="AN84">
            <v>1.1015160839169809</v>
          </cell>
        </row>
        <row r="85">
          <cell r="AF85">
            <v>2.0632496039864896</v>
          </cell>
          <cell r="AN85">
            <v>1.0484537313469271</v>
          </cell>
        </row>
        <row r="86">
          <cell r="AF86">
            <v>2.0821375615725009</v>
          </cell>
          <cell r="AN86">
            <v>1.0851497975714348</v>
          </cell>
        </row>
        <row r="87">
          <cell r="AF87">
            <v>2.1379980563767167</v>
          </cell>
          <cell r="AN87">
            <v>1.0715366269141873</v>
          </cell>
        </row>
        <row r="88">
          <cell r="AF88">
            <v>2.1430292674342146</v>
          </cell>
          <cell r="AN88">
            <v>1.0980337289187867</v>
          </cell>
        </row>
        <row r="89">
          <cell r="AF89">
            <v>2.0900429414913755</v>
          </cell>
          <cell r="AN89">
            <v>1.1003508771963535</v>
          </cell>
        </row>
        <row r="90">
          <cell r="AF90">
            <v>2.0919615963778719</v>
          </cell>
          <cell r="AN90">
            <v>1.0752000000035764</v>
          </cell>
        </row>
        <row r="91">
          <cell r="AF91">
            <v>2.0690581754573016</v>
          </cell>
          <cell r="AN91">
            <v>1.099967479673235</v>
          </cell>
        </row>
        <row r="92">
          <cell r="AF92">
            <v>2.0901818978764379</v>
          </cell>
          <cell r="AN92">
            <v>1.0968275862063463</v>
          </cell>
        </row>
        <row r="93">
          <cell r="AF93">
            <v>2.1514486974877904</v>
          </cell>
          <cell r="AN93">
            <v>1.1013210768234087</v>
          </cell>
        </row>
        <row r="94">
          <cell r="AF94">
            <v>2.154223378690729</v>
          </cell>
          <cell r="AN94">
            <v>1.0871025830211605</v>
          </cell>
        </row>
        <row r="95">
          <cell r="AF95">
            <v>2.2743055555515137</v>
          </cell>
          <cell r="AN95">
            <v>1.1226987951822975</v>
          </cell>
        </row>
        <row r="96">
          <cell r="AF96">
            <v>2.1164950062535519</v>
          </cell>
          <cell r="AN96">
            <v>1.1201703422043314</v>
          </cell>
        </row>
        <row r="97">
          <cell r="AF97">
            <v>2.1374772025874424</v>
          </cell>
          <cell r="AN97">
            <v>1.0683949367120096</v>
          </cell>
        </row>
        <row r="98">
          <cell r="AF98">
            <v>2.1077777777827578</v>
          </cell>
          <cell r="AN98">
            <v>1.030367227503205</v>
          </cell>
        </row>
        <row r="99">
          <cell r="AF99">
            <v>2.1422849535271533</v>
          </cell>
          <cell r="AN99">
            <v>1.0871135734052741</v>
          </cell>
        </row>
        <row r="100">
          <cell r="AF100">
            <v>2.0972556357430254</v>
          </cell>
          <cell r="AN100">
            <v>0.95270886076019579</v>
          </cell>
        </row>
        <row r="101">
          <cell r="AF101">
            <v>2.1063303275295495</v>
          </cell>
          <cell r="AN101">
            <v>1.0885289256140747</v>
          </cell>
        </row>
        <row r="102">
          <cell r="AF102">
            <v>2.1931279144548812</v>
          </cell>
          <cell r="AN102">
            <v>1.1198475153163645</v>
          </cell>
        </row>
        <row r="103">
          <cell r="AF103">
            <v>2.1840072320994626</v>
          </cell>
          <cell r="AN103">
            <v>1.0676281690158351</v>
          </cell>
        </row>
        <row r="104">
          <cell r="AF104">
            <v>2.1478445658808871</v>
          </cell>
          <cell r="AN104">
            <v>1.0962234636910722</v>
          </cell>
        </row>
        <row r="105">
          <cell r="AF105">
            <v>1.9805892766844175</v>
          </cell>
          <cell r="AN105">
            <v>1.0941964664292949</v>
          </cell>
        </row>
        <row r="106">
          <cell r="AF106">
            <v>2.08276224415577</v>
          </cell>
          <cell r="AN106">
            <v>1.05182608696755</v>
          </cell>
        </row>
        <row r="107">
          <cell r="AF107">
            <v>2.0587582445510839</v>
          </cell>
          <cell r="AN107">
            <v>1.0857559607241718</v>
          </cell>
        </row>
        <row r="108">
          <cell r="AF108">
            <v>2.1286076887813588</v>
          </cell>
          <cell r="AN108">
            <v>1.0693405994572458</v>
          </cell>
        </row>
        <row r="109">
          <cell r="AF109">
            <v>2.0661778529756702</v>
          </cell>
          <cell r="AN109">
            <v>1.0824161073831655</v>
          </cell>
        </row>
        <row r="110">
          <cell r="AF110">
            <v>2.0895355165044172</v>
          </cell>
          <cell r="AN110">
            <v>1.0958358702839046</v>
          </cell>
        </row>
        <row r="111">
          <cell r="AF111">
            <v>2.1177340534921787</v>
          </cell>
          <cell r="AN111" t="str">
            <v/>
          </cell>
        </row>
        <row r="112">
          <cell r="AF112">
            <v>2.1546327211892491</v>
          </cell>
          <cell r="AN112">
            <v>1.0618342541398902</v>
          </cell>
        </row>
        <row r="113">
          <cell r="AF113">
            <v>2.0434385455203712</v>
          </cell>
          <cell r="AN113">
            <v>1.0581558784674727</v>
          </cell>
        </row>
        <row r="114">
          <cell r="AF114">
            <v>2.0605600539756077</v>
          </cell>
          <cell r="AN114">
            <v>1.0742739018068466</v>
          </cell>
        </row>
      </sheetData>
      <sheetData sheetId="6"/>
      <sheetData sheetId="7"/>
      <sheetData sheetId="8">
        <row r="5">
          <cell r="Y5">
            <v>9499.9999999995071</v>
          </cell>
          <cell r="AB5">
            <v>10249.99999999998</v>
          </cell>
          <cell r="AG5">
            <v>299.99999999999653</v>
          </cell>
        </row>
        <row r="6">
          <cell r="AB6">
            <v>8500.0000000001746</v>
          </cell>
          <cell r="AG6">
            <v>179.99999999999497</v>
          </cell>
        </row>
        <row r="7">
          <cell r="AB7">
            <v>11000.000000000453</v>
          </cell>
          <cell r="AG7">
            <v>159.99999999999719</v>
          </cell>
        </row>
        <row r="8">
          <cell r="AB8">
            <v>9499.9999999995071</v>
          </cell>
          <cell r="AG8">
            <v>160.00000000000458</v>
          </cell>
        </row>
        <row r="9">
          <cell r="AB9">
            <v>12499.999999999734</v>
          </cell>
          <cell r="AG9">
            <v>136.6666666666664</v>
          </cell>
        </row>
        <row r="10">
          <cell r="AB10">
            <v>10999.999999999898</v>
          </cell>
          <cell r="AG10">
            <v>133.33333333333346</v>
          </cell>
        </row>
        <row r="11">
          <cell r="AB11">
            <v>20500.000000000517</v>
          </cell>
          <cell r="AG11">
            <v>160.00000000000014</v>
          </cell>
        </row>
        <row r="12">
          <cell r="AB12">
            <v>6499.999999999839</v>
          </cell>
          <cell r="AG12">
            <v>111.99999999999655</v>
          </cell>
        </row>
        <row r="13">
          <cell r="AB13">
            <v>6249.9999999998672</v>
          </cell>
          <cell r="AG13">
            <v>96.666666666667126</v>
          </cell>
        </row>
        <row r="14">
          <cell r="AB14">
            <v>14000.000000000122</v>
          </cell>
          <cell r="AG14">
            <v>116.66666666666492</v>
          </cell>
        </row>
        <row r="15">
          <cell r="AB15">
            <v>15999.999999999902</v>
          </cell>
          <cell r="AG15">
            <v>151.66666666666848</v>
          </cell>
        </row>
        <row r="16">
          <cell r="AB16">
            <v>13749.999999999594</v>
          </cell>
          <cell r="AG16">
            <v>134.99999999999991</v>
          </cell>
        </row>
        <row r="17">
          <cell r="AB17">
            <v>14750.00000000004</v>
          </cell>
          <cell r="AG17">
            <v>120.00000000000159</v>
          </cell>
        </row>
        <row r="18">
          <cell r="AB18">
            <v>10749.999999999925</v>
          </cell>
          <cell r="AG18">
            <v>246.6666666666691</v>
          </cell>
        </row>
        <row r="19">
          <cell r="AB19">
            <v>13249.999999999651</v>
          </cell>
          <cell r="AG19">
            <v>152.00000000000102</v>
          </cell>
        </row>
        <row r="20">
          <cell r="AB20">
            <v>16249.999999999876</v>
          </cell>
          <cell r="AG20">
            <v>196.00000000000063</v>
          </cell>
        </row>
        <row r="21">
          <cell r="AB21">
            <v>24750.000000000051</v>
          </cell>
          <cell r="AG21">
            <v>146.00000000000168</v>
          </cell>
        </row>
        <row r="22">
          <cell r="AB22">
            <v>14500.000000000067</v>
          </cell>
          <cell r="AG22">
            <v>114.00000000000077</v>
          </cell>
        </row>
        <row r="23">
          <cell r="AB23"/>
          <cell r="AG23">
            <v>287.99999999999937</v>
          </cell>
        </row>
        <row r="24">
          <cell r="AB24">
            <v>29500.00000000008</v>
          </cell>
          <cell r="AG24"/>
        </row>
        <row r="25">
          <cell r="AB25">
            <v>37250.000000000335</v>
          </cell>
          <cell r="AG25">
            <v>104.00000000000631</v>
          </cell>
        </row>
        <row r="26">
          <cell r="AB26">
            <v>13999.999999999569</v>
          </cell>
          <cell r="AG26">
            <v>76.000000000000512</v>
          </cell>
        </row>
        <row r="27">
          <cell r="AB27">
            <v>12999.999999999678</v>
          </cell>
          <cell r="AG27">
            <v>123.99999999999966</v>
          </cell>
        </row>
        <row r="28">
          <cell r="AB28">
            <v>9500.0000000000637</v>
          </cell>
          <cell r="AG28">
            <v>104.00000000000188</v>
          </cell>
        </row>
        <row r="29">
          <cell r="AB29">
            <v>16500.0000000004</v>
          </cell>
          <cell r="AG29">
            <v>106.00000000000165</v>
          </cell>
        </row>
        <row r="30">
          <cell r="AB30">
            <v>26749.999999999829</v>
          </cell>
          <cell r="AG30">
            <v>36.000000000000476</v>
          </cell>
        </row>
        <row r="31">
          <cell r="AB31">
            <v>6250.000000000422</v>
          </cell>
          <cell r="AG31">
            <v>171.99999999999881</v>
          </cell>
        </row>
        <row r="32">
          <cell r="AB32">
            <v>8499.999999999618</v>
          </cell>
          <cell r="AG32">
            <v>87.500000000001464</v>
          </cell>
        </row>
        <row r="33">
          <cell r="AB33">
            <v>9500.0000000000637</v>
          </cell>
          <cell r="AG33">
            <v>63.000000000001947</v>
          </cell>
        </row>
        <row r="34">
          <cell r="AB34">
            <v>8499.999999999618</v>
          </cell>
          <cell r="AG34">
            <v>91.999999999998749</v>
          </cell>
        </row>
        <row r="35">
          <cell r="AB35">
            <v>16250.000000000429</v>
          </cell>
          <cell r="AG35">
            <v>104.00000000000188</v>
          </cell>
        </row>
        <row r="36">
          <cell r="AB36">
            <v>7749.9999999997017</v>
          </cell>
          <cell r="AG36">
            <v>95.000000000000639</v>
          </cell>
        </row>
        <row r="37">
          <cell r="AB37">
            <v>6249.9999999998672</v>
          </cell>
          <cell r="AG37">
            <v>203.7499999999998</v>
          </cell>
        </row>
        <row r="38">
          <cell r="AB38">
            <v>6249.9999999998672</v>
          </cell>
          <cell r="AG38">
            <v>161.66666666666737</v>
          </cell>
        </row>
        <row r="39">
          <cell r="AB39">
            <v>7249.9999999997563</v>
          </cell>
          <cell r="AG39">
            <v>97.000000000000426</v>
          </cell>
        </row>
        <row r="40">
          <cell r="AB40">
            <v>8500.0000000001746</v>
          </cell>
          <cell r="AG40">
            <v>135.00000000000068</v>
          </cell>
        </row>
        <row r="41">
          <cell r="AB41">
            <v>28750.000000000164</v>
          </cell>
          <cell r="AG41">
            <v>141.99999999999767</v>
          </cell>
        </row>
        <row r="42">
          <cell r="AB42">
            <v>21250.000000000433</v>
          </cell>
          <cell r="AG42">
            <v>140.00000000000233</v>
          </cell>
        </row>
        <row r="43">
          <cell r="AB43">
            <v>20999.999999999909</v>
          </cell>
          <cell r="AG43">
            <v>1324.0000000000007</v>
          </cell>
        </row>
        <row r="44">
          <cell r="AB44">
            <v>15499.999999999958</v>
          </cell>
          <cell r="AG44">
            <v>160.00000000000014</v>
          </cell>
        </row>
        <row r="45">
          <cell r="AB45">
            <v>23000.00000000024</v>
          </cell>
          <cell r="AG45">
            <v>198.0000000000004</v>
          </cell>
        </row>
        <row r="46">
          <cell r="AB46">
            <v>19000.000000000127</v>
          </cell>
          <cell r="AG46">
            <v>240.00000000000023</v>
          </cell>
        </row>
        <row r="47">
          <cell r="AB47">
            <v>19250.000000000098</v>
          </cell>
          <cell r="AG47">
            <v>154.0000000000008</v>
          </cell>
        </row>
        <row r="48">
          <cell r="AB48">
            <v>18250.000000000211</v>
          </cell>
          <cell r="AG48">
            <v>161.99999999999991</v>
          </cell>
        </row>
        <row r="49">
          <cell r="AB49">
            <v>23250.000000000215</v>
          </cell>
          <cell r="AG49">
            <v>225.99999999999733</v>
          </cell>
        </row>
        <row r="50">
          <cell r="AB50">
            <v>22999.999999999687</v>
          </cell>
          <cell r="AG50">
            <v>173.99999999999861</v>
          </cell>
        </row>
        <row r="51">
          <cell r="AB51">
            <v>28750.000000000164</v>
          </cell>
          <cell r="AG51">
            <v>230.00000000000131</v>
          </cell>
        </row>
        <row r="52">
          <cell r="AB52">
            <v>20249.999999999989</v>
          </cell>
          <cell r="AG52">
            <v>205.99999999999952</v>
          </cell>
        </row>
        <row r="53">
          <cell r="AB53">
            <v>22750.000000000269</v>
          </cell>
          <cell r="AG53">
            <v>254.00000000000313</v>
          </cell>
        </row>
        <row r="54">
          <cell r="AB54">
            <v>23750.00000000016</v>
          </cell>
          <cell r="AG54">
            <v>200.00000000000017</v>
          </cell>
        </row>
        <row r="55">
          <cell r="AB55">
            <v>23500.000000000186</v>
          </cell>
          <cell r="AG55">
            <v>220.00000000000242</v>
          </cell>
        </row>
        <row r="56">
          <cell r="AB56">
            <v>18500.000000000182</v>
          </cell>
          <cell r="AG56">
            <v>213.99999999999864</v>
          </cell>
        </row>
        <row r="57">
          <cell r="AB57">
            <v>25999.999999999913</v>
          </cell>
          <cell r="AG57">
            <v>217.99999999999818</v>
          </cell>
        </row>
        <row r="58">
          <cell r="AB58">
            <v>24750.000000000051</v>
          </cell>
          <cell r="AG58">
            <v>227.9999999999971</v>
          </cell>
        </row>
        <row r="59">
          <cell r="AB59">
            <v>23500.000000000186</v>
          </cell>
          <cell r="AG59">
            <v>216.00000000000284</v>
          </cell>
        </row>
        <row r="60">
          <cell r="AB60">
            <v>8500.0000000001746</v>
          </cell>
          <cell r="AG60">
            <v>138.00000000000256</v>
          </cell>
        </row>
        <row r="61">
          <cell r="AB61">
            <v>7749.9999999997017</v>
          </cell>
          <cell r="AG61">
            <v>32.000000000000917</v>
          </cell>
        </row>
        <row r="62">
          <cell r="AB62">
            <v>21499.999999999851</v>
          </cell>
          <cell r="AG62">
            <v>249.99999999999912</v>
          </cell>
        </row>
        <row r="63">
          <cell r="AB63">
            <v>22250.000000000324</v>
          </cell>
          <cell r="AG63">
            <v>187.99999999999704</v>
          </cell>
        </row>
        <row r="64">
          <cell r="AB64">
            <v>23999.999999999578</v>
          </cell>
          <cell r="AG64">
            <v>152.00000000000102</v>
          </cell>
        </row>
        <row r="65">
          <cell r="AB65">
            <v>24750.000000000051</v>
          </cell>
          <cell r="AG65">
            <v>196.00000000000063</v>
          </cell>
        </row>
        <row r="66">
          <cell r="AB66">
            <v>23000.00000000024</v>
          </cell>
          <cell r="AG66">
            <v>216.00000000000284</v>
          </cell>
        </row>
        <row r="67">
          <cell r="AB67">
            <v>6499.999999999839</v>
          </cell>
          <cell r="AG67">
            <v>217.99999999999818</v>
          </cell>
        </row>
        <row r="68">
          <cell r="AB68">
            <v>8750.0000000001455</v>
          </cell>
          <cell r="AG68">
            <v>228.00000000000153</v>
          </cell>
        </row>
        <row r="69">
          <cell r="AB69">
            <v>21749.999999999822</v>
          </cell>
          <cell r="AG69">
            <v>209.99999999999909</v>
          </cell>
        </row>
        <row r="70">
          <cell r="AB70">
            <v>24000.000000000131</v>
          </cell>
          <cell r="AG70">
            <v>217.99999999999818</v>
          </cell>
        </row>
        <row r="71">
          <cell r="AB71">
            <v>28249.999999999662</v>
          </cell>
          <cell r="AG71">
            <v>215.99999999999841</v>
          </cell>
        </row>
        <row r="72">
          <cell r="AB72">
            <v>25249.999999999993</v>
          </cell>
          <cell r="AG72">
            <v>220.00000000000242</v>
          </cell>
        </row>
        <row r="73">
          <cell r="AB73">
            <v>22999.999999999687</v>
          </cell>
          <cell r="AG73">
            <v>169.99999999999903</v>
          </cell>
        </row>
        <row r="74">
          <cell r="AB74">
            <v>6499.999999999839</v>
          </cell>
          <cell r="AG74">
            <v>209.99999999999909</v>
          </cell>
        </row>
        <row r="75">
          <cell r="AB75">
            <v>43500.000000000204</v>
          </cell>
          <cell r="AG75">
            <v>265.99999999999733</v>
          </cell>
        </row>
        <row r="76">
          <cell r="AB76">
            <v>24000.000000000131</v>
          </cell>
          <cell r="AG76">
            <v>226.00000000000176</v>
          </cell>
        </row>
        <row r="77">
          <cell r="AB77">
            <v>31250.000000000444</v>
          </cell>
          <cell r="AG77">
            <v>259.99999999999801</v>
          </cell>
        </row>
        <row r="78">
          <cell r="AB78">
            <v>22749.999999999713</v>
          </cell>
          <cell r="AG78">
            <v>226.00000000000176</v>
          </cell>
        </row>
        <row r="79">
          <cell r="AB79">
            <v>32750.000000000276</v>
          </cell>
          <cell r="AG79">
            <v>308.00000000000159</v>
          </cell>
        </row>
        <row r="80">
          <cell r="AB80">
            <v>22499.999999999742</v>
          </cell>
          <cell r="AG80">
            <v>215.99999999999841</v>
          </cell>
        </row>
        <row r="81">
          <cell r="AB81">
            <v>5749.9999999999218</v>
          </cell>
          <cell r="AG81">
            <v>140.00000000000011</v>
          </cell>
        </row>
        <row r="82">
          <cell r="AB82">
            <v>5999.9999999998945</v>
          </cell>
          <cell r="AG82">
            <v>194.2857142857151</v>
          </cell>
        </row>
        <row r="83">
          <cell r="AB83">
            <v>26249.999999999884</v>
          </cell>
          <cell r="AG83">
            <v>285.9999999999996</v>
          </cell>
        </row>
        <row r="84">
          <cell r="AB84">
            <v>26500.000000000411</v>
          </cell>
          <cell r="AG84">
            <v>358.00000000000057</v>
          </cell>
        </row>
        <row r="85">
          <cell r="AB85">
            <v>26499.999999999854</v>
          </cell>
          <cell r="AG85">
            <v>190.00000000000128</v>
          </cell>
        </row>
        <row r="86">
          <cell r="AB86">
            <v>29000.000000000135</v>
          </cell>
          <cell r="AG86">
            <v>274.99999999999744</v>
          </cell>
        </row>
        <row r="87">
          <cell r="AB87">
            <v>28500.000000000193</v>
          </cell>
          <cell r="AG87">
            <v>254.99999999999966</v>
          </cell>
        </row>
        <row r="88">
          <cell r="AB88">
            <v>24500.000000000076</v>
          </cell>
          <cell r="AG88">
            <v>252.49999999999994</v>
          </cell>
        </row>
        <row r="89">
          <cell r="AB89">
            <v>27500.000000000302</v>
          </cell>
          <cell r="AG89">
            <v>222.4999999999977</v>
          </cell>
        </row>
        <row r="90">
          <cell r="AB90">
            <v>27250.000000000327</v>
          </cell>
          <cell r="AG90">
            <v>262.49999999999886</v>
          </cell>
        </row>
        <row r="91">
          <cell r="AB91">
            <v>34499.999999999534</v>
          </cell>
          <cell r="AG91">
            <v>224.00000000000199</v>
          </cell>
        </row>
        <row r="92">
          <cell r="AB92">
            <v>31750.000000000386</v>
          </cell>
          <cell r="AG92">
            <v>240.00000000000023</v>
          </cell>
        </row>
        <row r="93">
          <cell r="AB93">
            <v>29000.000000000135</v>
          </cell>
          <cell r="AG93">
            <v>235.99999999999622</v>
          </cell>
        </row>
        <row r="94">
          <cell r="AB94">
            <v>33999.999999999578</v>
          </cell>
          <cell r="AG94">
            <v>255.99999999999847</v>
          </cell>
        </row>
        <row r="95">
          <cell r="AB95">
            <v>6499.999999999839</v>
          </cell>
          <cell r="AG95">
            <v>280.00000000000023</v>
          </cell>
        </row>
        <row r="96">
          <cell r="AB96">
            <v>6500.0000000003947</v>
          </cell>
          <cell r="AG96">
            <v>238.00000000000043</v>
          </cell>
        </row>
        <row r="97">
          <cell r="AB97">
            <v>6999.9999999997844</v>
          </cell>
          <cell r="AG97">
            <v>251.99999999999889</v>
          </cell>
        </row>
        <row r="98">
          <cell r="AB98">
            <v>34250.000000000116</v>
          </cell>
          <cell r="AG98">
            <v>269.99999999999693</v>
          </cell>
        </row>
        <row r="99">
          <cell r="AB99">
            <v>35499.999999999971</v>
          </cell>
          <cell r="AG99">
            <v>250.00000000000355</v>
          </cell>
        </row>
        <row r="100">
          <cell r="AB100">
            <v>33750.00000000016</v>
          </cell>
          <cell r="AG100">
            <v>257.99999999999824</v>
          </cell>
        </row>
        <row r="101">
          <cell r="AB101">
            <v>39750.000000000065</v>
          </cell>
          <cell r="AG101">
            <v>273.99999999999648</v>
          </cell>
        </row>
        <row r="102">
          <cell r="AB102">
            <v>42749.999999999738</v>
          </cell>
          <cell r="AG102">
            <v>231.99999999999665</v>
          </cell>
        </row>
        <row r="103">
          <cell r="AB103">
            <v>8250.0000000002001</v>
          </cell>
          <cell r="AG103">
            <v>285.9999999999996</v>
          </cell>
        </row>
        <row r="104">
          <cell r="AB104">
            <v>30499.999999999971</v>
          </cell>
          <cell r="AG104">
            <v>299.99999999999807</v>
          </cell>
        </row>
        <row r="105">
          <cell r="AB105">
            <v>40999.99999999992</v>
          </cell>
          <cell r="AG105">
            <v>226.00000000000176</v>
          </cell>
        </row>
        <row r="106">
          <cell r="AB106">
            <v>38750.000000000167</v>
          </cell>
          <cell r="AG106">
            <v>261.99999999999778</v>
          </cell>
        </row>
        <row r="107">
          <cell r="AB107">
            <v>39750.000000000065</v>
          </cell>
          <cell r="AG107">
            <v>369.9999999999992</v>
          </cell>
        </row>
        <row r="108">
          <cell r="AB108">
            <v>38250.000000000226</v>
          </cell>
          <cell r="AG108">
            <v>282</v>
          </cell>
        </row>
        <row r="109">
          <cell r="AB109">
            <v>29750.000000000055</v>
          </cell>
          <cell r="AG109">
            <v>208.00000000000375</v>
          </cell>
        </row>
        <row r="110">
          <cell r="AB110">
            <v>6499.999999999839</v>
          </cell>
          <cell r="AG110">
            <v>268.00000000000159</v>
          </cell>
        </row>
        <row r="111">
          <cell r="AB111">
            <v>33000.000000000247</v>
          </cell>
          <cell r="AG111">
            <v>229.99999999999687</v>
          </cell>
        </row>
        <row r="112">
          <cell r="AB112">
            <v>30749.999999999942</v>
          </cell>
          <cell r="AG112">
            <v>278.00000000000045</v>
          </cell>
        </row>
        <row r="113">
          <cell r="AB113">
            <v>33500.000000000189</v>
          </cell>
          <cell r="AG113">
            <v>225.99999999999733</v>
          </cell>
        </row>
        <row r="114">
          <cell r="AB114">
            <v>38750.000000000167</v>
          </cell>
          <cell r="AG114">
            <v>271.9999999999967</v>
          </cell>
        </row>
      </sheetData>
      <sheetData sheetId="9">
        <row r="5">
          <cell r="T5">
            <v>0.1299633191983795</v>
          </cell>
          <cell r="W5">
            <v>0.15914008326321583</v>
          </cell>
          <cell r="AA5">
            <v>0.15914008326321583</v>
          </cell>
        </row>
        <row r="6">
          <cell r="W6">
            <v>9.8853013271135881E-2</v>
          </cell>
          <cell r="AA6">
            <v>0.10274640293639137</v>
          </cell>
        </row>
        <row r="7">
          <cell r="W7">
            <v>9.9455139492849176E-2</v>
          </cell>
          <cell r="AA7">
            <v>0.10040598058120229</v>
          </cell>
        </row>
        <row r="8">
          <cell r="W8">
            <v>0.1001300273012619</v>
          </cell>
          <cell r="AA8">
            <v>9.9520154488064533E-2</v>
          </cell>
        </row>
        <row r="9">
          <cell r="W9">
            <v>0.10244241235543455</v>
          </cell>
          <cell r="AA9">
            <v>0.10378432801289722</v>
          </cell>
        </row>
        <row r="10">
          <cell r="W10">
            <v>0.10440948951977518</v>
          </cell>
          <cell r="AA10">
            <v>0.10618707043513739</v>
          </cell>
        </row>
        <row r="11">
          <cell r="W11">
            <v>9.3134303195894955E-2</v>
          </cell>
          <cell r="AA11">
            <v>8.7585413636199788E-2</v>
          </cell>
        </row>
        <row r="12">
          <cell r="W12">
            <v>9.4253532554740838E-2</v>
          </cell>
          <cell r="AA12">
            <v>0.10138382343357027</v>
          </cell>
        </row>
        <row r="13">
          <cell r="W13">
            <v>7.310973923254753E-2</v>
          </cell>
          <cell r="AA13">
            <v>7.2467921553081197E-2</v>
          </cell>
        </row>
        <row r="14">
          <cell r="W14">
            <v>6.1531502907925383E-2</v>
          </cell>
          <cell r="AA14">
            <v>6.3150752984355477E-2</v>
          </cell>
        </row>
        <row r="15">
          <cell r="W15">
            <v>9.3219567912871296E-2</v>
          </cell>
          <cell r="AA15">
            <v>9.5179963699622006E-2</v>
          </cell>
        </row>
        <row r="16">
          <cell r="W16">
            <v>0.10339934984934025</v>
          </cell>
          <cell r="AA16">
            <v>0.10344422803958803</v>
          </cell>
        </row>
        <row r="17">
          <cell r="W17">
            <v>8.7452565409477503E-2</v>
          </cell>
          <cell r="AA17">
            <v>8.7789291459048943E-2</v>
          </cell>
        </row>
        <row r="18">
          <cell r="W18">
            <v>8.5459238064992407E-2</v>
          </cell>
          <cell r="AA18">
            <v>7.397141390067459E-2</v>
          </cell>
        </row>
        <row r="19">
          <cell r="W19">
            <v>8.4850885640196674E-2</v>
          </cell>
          <cell r="AA19">
            <v>0.10324651257354528</v>
          </cell>
        </row>
        <row r="20">
          <cell r="W20">
            <v>0.10551325656631705</v>
          </cell>
          <cell r="AA20">
            <v>0.10644402290660861</v>
          </cell>
        </row>
        <row r="21">
          <cell r="W21">
            <v>6.8183449335058641E-2</v>
          </cell>
          <cell r="AA21">
            <v>6.9273139164625699E-2</v>
          </cell>
        </row>
        <row r="22">
          <cell r="W22">
            <v>7.8306431318646966E-2</v>
          </cell>
          <cell r="AA22">
            <v>7.9033940392897462E-2</v>
          </cell>
        </row>
        <row r="23">
          <cell r="W23">
            <v>0.13140277125733951</v>
          </cell>
          <cell r="AA23">
            <v>0.13322780974723725</v>
          </cell>
        </row>
        <row r="24">
          <cell r="W24" t="str">
            <v/>
          </cell>
          <cell r="AA24" t="str">
            <v/>
          </cell>
        </row>
        <row r="25">
          <cell r="W25" t="str">
            <v/>
          </cell>
          <cell r="AA25" t="str">
            <v/>
          </cell>
        </row>
        <row r="26">
          <cell r="W26" t="str">
            <v/>
          </cell>
          <cell r="AA26" t="str">
            <v/>
          </cell>
        </row>
        <row r="27">
          <cell r="W27" t="str">
            <v/>
          </cell>
          <cell r="AA27" t="str">
            <v/>
          </cell>
        </row>
        <row r="28">
          <cell r="W28">
            <v>6.6984172812423692E-2</v>
          </cell>
          <cell r="AA28">
            <v>6.815582429943022E-2</v>
          </cell>
        </row>
        <row r="29">
          <cell r="W29">
            <v>0.13128825089026305</v>
          </cell>
          <cell r="AA29">
            <v>0.13551533472558916</v>
          </cell>
        </row>
        <row r="30">
          <cell r="W30">
            <v>6.7050566294524896E-2</v>
          </cell>
          <cell r="AA30">
            <v>6.8809608929293886E-2</v>
          </cell>
        </row>
        <row r="31">
          <cell r="W31" t="str">
            <v/>
          </cell>
          <cell r="AA31" t="str">
            <v/>
          </cell>
        </row>
        <row r="32">
          <cell r="W32">
            <v>0.12019949710782246</v>
          </cell>
          <cell r="AA32">
            <v>0.11818681082474741</v>
          </cell>
        </row>
        <row r="33">
          <cell r="W33">
            <v>0.12206935853023733</v>
          </cell>
          <cell r="AA33">
            <v>0.1273285825938581</v>
          </cell>
        </row>
        <row r="34">
          <cell r="W34">
            <v>0.11434789746770002</v>
          </cell>
          <cell r="AA34">
            <v>0.11705873124387395</v>
          </cell>
        </row>
        <row r="35">
          <cell r="W35">
            <v>0.10757480918606298</v>
          </cell>
          <cell r="AA35">
            <v>0.11363144875355183</v>
          </cell>
        </row>
        <row r="36">
          <cell r="W36">
            <v>9.2487207979083663E-2</v>
          </cell>
          <cell r="AA36">
            <v>8.1971360178821798E-2</v>
          </cell>
        </row>
        <row r="37">
          <cell r="W37">
            <v>8.4739565143221521E-2</v>
          </cell>
          <cell r="AA37">
            <v>8.3133333632151515E-2</v>
          </cell>
        </row>
        <row r="38">
          <cell r="W38">
            <v>9.3919911573212056E-2</v>
          </cell>
          <cell r="AA38">
            <v>9.9871433747285035E-2</v>
          </cell>
        </row>
        <row r="39">
          <cell r="W39">
            <v>8.296783601689027E-2</v>
          </cell>
          <cell r="AA39">
            <v>8.058977702304472E-2</v>
          </cell>
        </row>
        <row r="40">
          <cell r="W40" t="str">
            <v/>
          </cell>
          <cell r="AA40" t="str">
            <v/>
          </cell>
        </row>
        <row r="41">
          <cell r="W41" t="str">
            <v/>
          </cell>
          <cell r="AA41" t="str">
            <v/>
          </cell>
        </row>
        <row r="42">
          <cell r="W42">
            <v>7.4181464788683621E-2</v>
          </cell>
          <cell r="AA42">
            <v>7.5314792722871227E-2</v>
          </cell>
        </row>
        <row r="43">
          <cell r="W43">
            <v>0.10511118355357081</v>
          </cell>
          <cell r="AA43">
            <v>0.10700751933964647</v>
          </cell>
        </row>
        <row r="44">
          <cell r="W44">
            <v>8.6032589515391056E-2</v>
          </cell>
          <cell r="AA44">
            <v>8.7308496563331242E-2</v>
          </cell>
        </row>
        <row r="45">
          <cell r="W45">
            <v>8.593170658956574E-2</v>
          </cell>
          <cell r="AA45">
            <v>8.9608964304074223E-2</v>
          </cell>
        </row>
        <row r="46">
          <cell r="W46">
            <v>7.0073755529151446E-2</v>
          </cell>
          <cell r="AA46">
            <v>7.0099670379538875E-2</v>
          </cell>
        </row>
        <row r="47">
          <cell r="W47">
            <v>9.0036871528639706E-2</v>
          </cell>
          <cell r="AA47">
            <v>9.2582126069792353E-2</v>
          </cell>
        </row>
        <row r="48">
          <cell r="W48">
            <v>8.2446029610073204E-2</v>
          </cell>
          <cell r="AA48">
            <v>8.2933117471291978E-2</v>
          </cell>
        </row>
        <row r="49">
          <cell r="W49">
            <v>0.10216696792585951</v>
          </cell>
          <cell r="AA49">
            <v>0.10391983257162918</v>
          </cell>
        </row>
        <row r="50">
          <cell r="W50">
            <v>9.5071436607793741E-2</v>
          </cell>
          <cell r="AA50">
            <v>9.6935582424663672E-2</v>
          </cell>
        </row>
        <row r="51">
          <cell r="W51" t="str">
            <v/>
          </cell>
          <cell r="AA51" t="str">
            <v/>
          </cell>
        </row>
        <row r="52">
          <cell r="W52">
            <v>6.2150220114700255E-2</v>
          </cell>
          <cell r="AA52">
            <v>6.2564130391992268E-2</v>
          </cell>
        </row>
        <row r="53">
          <cell r="W53">
            <v>8.0663222273450574E-2</v>
          </cell>
          <cell r="AA53">
            <v>8.3127931842734509E-2</v>
          </cell>
        </row>
        <row r="54">
          <cell r="W54">
            <v>7.6004908406973395E-2</v>
          </cell>
          <cell r="AA54">
            <v>7.774228912571586E-2</v>
          </cell>
        </row>
        <row r="55">
          <cell r="W55">
            <v>9.8332733233245082E-2</v>
          </cell>
          <cell r="AA55">
            <v>9.8713446249841547E-2</v>
          </cell>
        </row>
        <row r="56">
          <cell r="W56" t="str">
            <v/>
          </cell>
          <cell r="AA56" t="str">
            <v/>
          </cell>
        </row>
        <row r="57">
          <cell r="W57">
            <v>7.0417110761523363E-2</v>
          </cell>
          <cell r="AA57">
            <v>7.1374317349804428E-2</v>
          </cell>
        </row>
        <row r="58">
          <cell r="W58">
            <v>8.6657546693702139E-2</v>
          </cell>
          <cell r="AA58">
            <v>8.8208464755320279E-2</v>
          </cell>
        </row>
        <row r="59">
          <cell r="W59">
            <v>0.11343107706700589</v>
          </cell>
          <cell r="AA59">
            <v>0.1144904190224679</v>
          </cell>
        </row>
        <row r="60">
          <cell r="W60">
            <v>9.1107959708263589E-2</v>
          </cell>
          <cell r="AA60">
            <v>9.0523934325858257E-2</v>
          </cell>
        </row>
        <row r="61">
          <cell r="W61">
            <v>0.10639365500767621</v>
          </cell>
          <cell r="AA61">
            <v>0.10806538471559018</v>
          </cell>
        </row>
        <row r="62">
          <cell r="W62">
            <v>5.5407138792298694E-2</v>
          </cell>
          <cell r="AA62">
            <v>0.1329665592204988</v>
          </cell>
        </row>
        <row r="63">
          <cell r="W63">
            <v>3.5269126417183924E-2</v>
          </cell>
          <cell r="AA63">
            <v>2.8649990647026523E-2</v>
          </cell>
        </row>
        <row r="64">
          <cell r="W64">
            <v>9.7394864360680455E-2</v>
          </cell>
          <cell r="AA64">
            <v>9.9295843856280763E-2</v>
          </cell>
        </row>
        <row r="65">
          <cell r="W65">
            <v>0.11758012666909305</v>
          </cell>
          <cell r="AA65">
            <v>0.12500464497680638</v>
          </cell>
        </row>
        <row r="66">
          <cell r="W66">
            <v>0.10410611744103157</v>
          </cell>
          <cell r="AA66">
            <v>0.10188680098401404</v>
          </cell>
        </row>
        <row r="67">
          <cell r="W67">
            <v>6.8631344195314567E-2</v>
          </cell>
          <cell r="AA67">
            <v>6.8245128537022109E-2</v>
          </cell>
        </row>
        <row r="68">
          <cell r="W68">
            <v>7.5199500560179891E-2</v>
          </cell>
          <cell r="AA68">
            <v>7.5610426792725269E-2</v>
          </cell>
        </row>
        <row r="69">
          <cell r="W69" t="str">
            <v/>
          </cell>
          <cell r="AA69" t="str">
            <v/>
          </cell>
        </row>
        <row r="70">
          <cell r="W70">
            <v>9.5038329942528726E-2</v>
          </cell>
          <cell r="AA70">
            <v>0.1013666397910637</v>
          </cell>
        </row>
        <row r="71">
          <cell r="W71">
            <v>0.10998829748789378</v>
          </cell>
          <cell r="AA71">
            <v>0.11164592253823245</v>
          </cell>
        </row>
        <row r="72">
          <cell r="W72" t="str">
            <v/>
          </cell>
          <cell r="AA72" t="str">
            <v/>
          </cell>
        </row>
        <row r="73">
          <cell r="W73" t="str">
            <v/>
          </cell>
          <cell r="AA73" t="str">
            <v/>
          </cell>
        </row>
        <row r="74">
          <cell r="W74">
            <v>6.8160553211885022E-2</v>
          </cell>
          <cell r="AA74">
            <v>6.8490454879450269E-2</v>
          </cell>
        </row>
        <row r="75">
          <cell r="W75">
            <v>0.11714146355349368</v>
          </cell>
          <cell r="AA75">
            <v>9.7082700514653647E-2</v>
          </cell>
        </row>
        <row r="76">
          <cell r="W76">
            <v>0.10166973598475471</v>
          </cell>
          <cell r="AA76">
            <v>0.11770004947048297</v>
          </cell>
        </row>
        <row r="77">
          <cell r="W77">
            <v>6.9724635199427204E-2</v>
          </cell>
          <cell r="AA77">
            <v>8.0464057006905607E-2</v>
          </cell>
        </row>
        <row r="78">
          <cell r="W78">
            <v>9.6085860288267169E-2</v>
          </cell>
          <cell r="AA78">
            <v>9.6549296913901322E-2</v>
          </cell>
        </row>
        <row r="79">
          <cell r="W79">
            <v>0.1213533013871631</v>
          </cell>
          <cell r="AA79">
            <v>0.1239804636055334</v>
          </cell>
        </row>
        <row r="80">
          <cell r="W80">
            <v>8.4502171038527155E-2</v>
          </cell>
          <cell r="AA80">
            <v>0.15447190171543157</v>
          </cell>
        </row>
        <row r="81">
          <cell r="W81">
            <v>1.0504617191341499E-2</v>
          </cell>
          <cell r="AA81">
            <v>2.0008794650195082E-2</v>
          </cell>
        </row>
        <row r="82">
          <cell r="W82" t="str">
            <v/>
          </cell>
          <cell r="AA82" t="str">
            <v/>
          </cell>
        </row>
        <row r="83">
          <cell r="W83">
            <v>9.0799722484974602E-2</v>
          </cell>
          <cell r="AA83">
            <v>9.4703917154878914E-2</v>
          </cell>
        </row>
        <row r="84">
          <cell r="W84">
            <v>7.379888868489827E-2</v>
          </cell>
          <cell r="AA84">
            <v>7.5037265940926204E-2</v>
          </cell>
        </row>
        <row r="85">
          <cell r="W85">
            <v>5.2575266815431794E-2</v>
          </cell>
          <cell r="AA85">
            <v>5.6162992293075406E-2</v>
          </cell>
        </row>
        <row r="86">
          <cell r="W86">
            <v>8.9580074074041047E-2</v>
          </cell>
          <cell r="AA86">
            <v>9.2456989060371031E-2</v>
          </cell>
        </row>
        <row r="87">
          <cell r="W87">
            <v>9.0071090740477963E-2</v>
          </cell>
          <cell r="AA87">
            <v>9.4144818847535436E-2</v>
          </cell>
        </row>
        <row r="88">
          <cell r="W88">
            <v>9.1599192681352304E-2</v>
          </cell>
          <cell r="AA88">
            <v>9.3431643401459194E-2</v>
          </cell>
        </row>
        <row r="89">
          <cell r="W89">
            <v>9.4591474853287463E-2</v>
          </cell>
          <cell r="AA89">
            <v>9.6280608332515491E-2</v>
          </cell>
        </row>
        <row r="90">
          <cell r="W90">
            <v>9.4573638254937697E-2</v>
          </cell>
          <cell r="AA90">
            <v>9.8514206515232419E-2</v>
          </cell>
        </row>
        <row r="91">
          <cell r="W91">
            <v>8.9869738991521647E-2</v>
          </cell>
          <cell r="AA91">
            <v>9.1506439536199149E-2</v>
          </cell>
        </row>
        <row r="92">
          <cell r="W92">
            <v>6.4879819422251642E-2</v>
          </cell>
          <cell r="AA92">
            <v>6.6250519832614138E-2</v>
          </cell>
        </row>
        <row r="93">
          <cell r="W93">
            <v>7.1199328688539648E-2</v>
          </cell>
          <cell r="AA93">
            <v>7.2406902772778628E-2</v>
          </cell>
        </row>
        <row r="94">
          <cell r="W94">
            <v>8.0534425566516646E-2</v>
          </cell>
          <cell r="AA94">
            <v>8.2971522690920632E-2</v>
          </cell>
        </row>
        <row r="95">
          <cell r="W95">
            <v>7.4701751833454677E-2</v>
          </cell>
          <cell r="AA95">
            <v>7.4522180314519751E-2</v>
          </cell>
        </row>
        <row r="96">
          <cell r="W96">
            <v>7.2086706006749865E-2</v>
          </cell>
          <cell r="AA96">
            <v>7.2075743916484178E-2</v>
          </cell>
        </row>
        <row r="97">
          <cell r="W97">
            <v>7.8310296650653338E-2</v>
          </cell>
          <cell r="AA97">
            <v>8.209280036336758E-2</v>
          </cell>
        </row>
        <row r="98">
          <cell r="W98">
            <v>8.3503948553037499E-2</v>
          </cell>
          <cell r="AA98">
            <v>9.0768048403510673E-2</v>
          </cell>
        </row>
        <row r="99">
          <cell r="W99">
            <v>5.9889438964430906E-2</v>
          </cell>
          <cell r="AA99">
            <v>6.1701162860153834E-2</v>
          </cell>
        </row>
        <row r="100">
          <cell r="W100">
            <v>6.3296576355573606E-2</v>
          </cell>
          <cell r="AA100">
            <v>7.441115375128915E-2</v>
          </cell>
        </row>
        <row r="101">
          <cell r="W101">
            <v>6.2851022212412927E-2</v>
          </cell>
          <cell r="AA101">
            <v>6.4668143603250058E-2</v>
          </cell>
        </row>
        <row r="102">
          <cell r="W102">
            <v>6.9897172385044989E-2</v>
          </cell>
          <cell r="AA102">
            <v>6.9906689973888464E-2</v>
          </cell>
        </row>
        <row r="103">
          <cell r="W103">
            <v>7.6272042839002852E-2</v>
          </cell>
          <cell r="AA103">
            <v>8.001352011761706E-2</v>
          </cell>
        </row>
        <row r="104">
          <cell r="W104">
            <v>7.1696523082638228E-2</v>
          </cell>
          <cell r="AA104">
            <v>7.3251584656086416E-2</v>
          </cell>
        </row>
        <row r="105">
          <cell r="W105">
            <v>6.8127498515372822E-2</v>
          </cell>
          <cell r="AA105">
            <v>6.9734093170870343E-2</v>
          </cell>
        </row>
        <row r="106">
          <cell r="W106">
            <v>6.5479016902418641E-2</v>
          </cell>
          <cell r="AA106">
            <v>6.9723027256474016E-2</v>
          </cell>
        </row>
        <row r="107">
          <cell r="W107">
            <v>6.7835137397445691E-2</v>
          </cell>
          <cell r="AA107">
            <v>6.9974613664073773E-2</v>
          </cell>
        </row>
        <row r="108">
          <cell r="W108">
            <v>8.038137944742578E-2</v>
          </cell>
          <cell r="AA108">
            <v>8.4189401418791221E-2</v>
          </cell>
        </row>
        <row r="109">
          <cell r="W109">
            <v>5.1536590243011798E-2</v>
          </cell>
          <cell r="AA109">
            <v>5.332605518197496E-2</v>
          </cell>
        </row>
        <row r="110">
          <cell r="W110">
            <v>6.4225575577216559E-2</v>
          </cell>
          <cell r="AA110">
            <v>6.5641805125293579E-2</v>
          </cell>
        </row>
        <row r="111">
          <cell r="W111" t="str">
            <v/>
          </cell>
          <cell r="AA111" t="str">
            <v/>
          </cell>
        </row>
        <row r="112">
          <cell r="W112">
            <v>5.358826877165606E-2</v>
          </cell>
          <cell r="AA112">
            <v>5.6523756688252109E-2</v>
          </cell>
        </row>
        <row r="113">
          <cell r="W113">
            <v>4.2072849097016314E-2</v>
          </cell>
          <cell r="AA113">
            <v>4.4531804762928201E-2</v>
          </cell>
        </row>
        <row r="114">
          <cell r="W114">
            <v>5.2369122112993972E-2</v>
          </cell>
          <cell r="AA114">
            <v>5.4598195737514135E-2</v>
          </cell>
        </row>
      </sheetData>
      <sheetData sheetId="10">
        <row r="5">
          <cell r="Z5">
            <v>0.86895180533756111</v>
          </cell>
          <cell r="AC5">
            <v>1.0714626374098584</v>
          </cell>
          <cell r="AH5">
            <v>0.57110233369846275</v>
          </cell>
        </row>
        <row r="6">
          <cell r="AC6">
            <v>0.67191991004516094</v>
          </cell>
          <cell r="AH6">
            <v>0.36679951233130792</v>
          </cell>
        </row>
        <row r="7">
          <cell r="AC7">
            <v>0.67823097052829429</v>
          </cell>
          <cell r="AH7">
            <v>0.37856507977142945</v>
          </cell>
        </row>
        <row r="8">
          <cell r="AC8">
            <v>0.67110432456485114</v>
          </cell>
          <cell r="AH8">
            <v>0.38783865863988304</v>
          </cell>
        </row>
        <row r="9">
          <cell r="AC9">
            <v>0.6814359166458922</v>
          </cell>
          <cell r="AH9">
            <v>0.39106267123795496</v>
          </cell>
        </row>
        <row r="10">
          <cell r="AC10">
            <v>0.69250083995466716</v>
          </cell>
          <cell r="AH10">
            <v>0.39985042174028179</v>
          </cell>
        </row>
        <row r="11">
          <cell r="AC11">
            <v>0.60963661373391176</v>
          </cell>
          <cell r="AH11">
            <v>0.35502733565872419</v>
          </cell>
        </row>
        <row r="12">
          <cell r="AC12">
            <v>0.6137152607515689</v>
          </cell>
          <cell r="AH12">
            <v>0.35277949425779714</v>
          </cell>
        </row>
        <row r="13">
          <cell r="AC13">
            <v>0.49592767691701317</v>
          </cell>
          <cell r="AH13">
            <v>0.26035127740216413</v>
          </cell>
        </row>
        <row r="14">
          <cell r="AC14">
            <v>0.38779162652805954</v>
          </cell>
          <cell r="AH14">
            <v>0.21131831622676622</v>
          </cell>
        </row>
        <row r="15">
          <cell r="AC15">
            <v>0.57353105700206963</v>
          </cell>
          <cell r="AH15">
            <v>0.32683682222196458</v>
          </cell>
        </row>
        <row r="16">
          <cell r="AC16">
            <v>0.64599305797388451</v>
          </cell>
          <cell r="AH16">
            <v>0.36962560316453186</v>
          </cell>
        </row>
        <row r="17">
          <cell r="AC17">
            <v>0.54557538944497441</v>
          </cell>
          <cell r="AH17">
            <v>0.31888218936810403</v>
          </cell>
        </row>
        <row r="18">
          <cell r="AC18">
            <v>0.51583466221841523</v>
          </cell>
          <cell r="AH18">
            <v>0.30878828619877691</v>
          </cell>
        </row>
        <row r="19">
          <cell r="AC19">
            <v>0.51025496736757159</v>
          </cell>
          <cell r="AH19">
            <v>0.30249174869909967</v>
          </cell>
        </row>
        <row r="20">
          <cell r="AC20">
            <v>0.67213963636541474</v>
          </cell>
          <cell r="AH20">
            <v>0.38568363895824292</v>
          </cell>
        </row>
        <row r="21">
          <cell r="AC21">
            <v>0.44503578947504757</v>
          </cell>
          <cell r="AH21">
            <v>0.25000343813025649</v>
          </cell>
        </row>
        <row r="22">
          <cell r="AC22">
            <v>0.481792</v>
          </cell>
          <cell r="AH22">
            <v>0.27312836913278693</v>
          </cell>
        </row>
        <row r="23">
          <cell r="AC23">
            <v>0.79580980674806845</v>
          </cell>
          <cell r="AH23">
            <v>0.46613505533744243</v>
          </cell>
        </row>
        <row r="24">
          <cell r="AC24">
            <v>0.5579772523537565</v>
          </cell>
          <cell r="AH24" t="str">
            <v/>
          </cell>
        </row>
        <row r="25">
          <cell r="AC25">
            <v>0.90865960737082974</v>
          </cell>
          <cell r="AH25" t="str">
            <v/>
          </cell>
        </row>
        <row r="26">
          <cell r="AC26" t="str">
            <v/>
          </cell>
          <cell r="AH26" t="str">
            <v/>
          </cell>
        </row>
        <row r="27">
          <cell r="AC27" t="str">
            <v/>
          </cell>
          <cell r="AH27" t="str">
            <v/>
          </cell>
        </row>
        <row r="28">
          <cell r="AC28">
            <v>0.54625663969183591</v>
          </cell>
          <cell r="AH28">
            <v>0.24203578393328232</v>
          </cell>
        </row>
        <row r="29">
          <cell r="AC29">
            <v>0.86143406450402094</v>
          </cell>
          <cell r="AH29">
            <v>0.4752422661704872</v>
          </cell>
        </row>
        <row r="30">
          <cell r="AC30">
            <v>0.45822685650545936</v>
          </cell>
          <cell r="AH30">
            <v>0.25927276328395871</v>
          </cell>
        </row>
        <row r="31">
          <cell r="AC31">
            <v>0.85764001500342979</v>
          </cell>
          <cell r="AH31" t="str">
            <v/>
          </cell>
        </row>
        <row r="32">
          <cell r="AC32">
            <v>0.76810489244227331</v>
          </cell>
          <cell r="AH32">
            <v>0.44841192805753644</v>
          </cell>
        </row>
        <row r="33">
          <cell r="AC33">
            <v>0.79243370664772361</v>
          </cell>
          <cell r="AH33">
            <v>0.45902002928953523</v>
          </cell>
        </row>
        <row r="34">
          <cell r="AC34">
            <v>0.73895563636559147</v>
          </cell>
          <cell r="AH34">
            <v>0.42484209951049423</v>
          </cell>
        </row>
        <row r="35">
          <cell r="AC35">
            <v>0.66878129070971293</v>
          </cell>
          <cell r="AH35">
            <v>0.38743613775873192</v>
          </cell>
        </row>
        <row r="36">
          <cell r="AC36">
            <v>0.5909759999982801</v>
          </cell>
          <cell r="AH36">
            <v>0.33234467742696594</v>
          </cell>
        </row>
        <row r="37">
          <cell r="AC37">
            <v>0.53841630611341362</v>
          </cell>
          <cell r="AH37">
            <v>0.30877652888288715</v>
          </cell>
        </row>
        <row r="38">
          <cell r="AC38">
            <v>0.57895205458517307</v>
          </cell>
          <cell r="AH38">
            <v>0.33099222399094386</v>
          </cell>
        </row>
        <row r="39">
          <cell r="AC39">
            <v>0.58410562044987591</v>
          </cell>
          <cell r="AH39">
            <v>0.29524167030631415</v>
          </cell>
        </row>
        <row r="40">
          <cell r="AC40">
            <v>0.66575582608527151</v>
          </cell>
          <cell r="AH40" t="str">
            <v/>
          </cell>
        </row>
        <row r="41">
          <cell r="AC41">
            <v>0.71801332947990681</v>
          </cell>
          <cell r="AH41" t="str">
            <v/>
          </cell>
        </row>
        <row r="42">
          <cell r="AC42">
            <v>0.46623896681470273</v>
          </cell>
          <cell r="AH42">
            <v>0.25724143814589456</v>
          </cell>
        </row>
        <row r="43">
          <cell r="AC43">
            <v>0.62516411369504399</v>
          </cell>
          <cell r="AH43">
            <v>0.35626753018012736</v>
          </cell>
        </row>
        <row r="44">
          <cell r="AC44">
            <v>0.51365989599519746</v>
          </cell>
          <cell r="AH44">
            <v>0.29535502161997623</v>
          </cell>
        </row>
        <row r="45">
          <cell r="AC45">
            <v>0.53165290848644531</v>
          </cell>
          <cell r="AH45">
            <v>0.3076763324137376</v>
          </cell>
        </row>
        <row r="46">
          <cell r="AC46">
            <v>0.43228810670587048</v>
          </cell>
          <cell r="AH46">
            <v>0.25214093356759626</v>
          </cell>
        </row>
        <row r="47">
          <cell r="AC47">
            <v>0.54727469433083253</v>
          </cell>
          <cell r="AH47">
            <v>0.3244149897069763</v>
          </cell>
        </row>
        <row r="48">
          <cell r="AC48">
            <v>0.51020618455852651</v>
          </cell>
          <cell r="AH48">
            <v>0.2984003416081889</v>
          </cell>
        </row>
        <row r="49">
          <cell r="AC49">
            <v>0.62999333086893483</v>
          </cell>
          <cell r="AH49">
            <v>0.37087828840620751</v>
          </cell>
        </row>
        <row r="50">
          <cell r="AC50">
            <v>0.60597208033100036</v>
          </cell>
          <cell r="AH50">
            <v>0.35457369800062793</v>
          </cell>
        </row>
        <row r="51">
          <cell r="AC51">
            <v>0.34933705131199627</v>
          </cell>
          <cell r="AH51" t="str">
            <v/>
          </cell>
        </row>
        <row r="52">
          <cell r="AC52">
            <v>0.42585478556512546</v>
          </cell>
          <cell r="AH52">
            <v>0.24004872138033551</v>
          </cell>
        </row>
        <row r="53">
          <cell r="AC53">
            <v>0.51764583421990862</v>
          </cell>
          <cell r="AH53">
            <v>0.3076914794715484</v>
          </cell>
        </row>
        <row r="54">
          <cell r="AC54">
            <v>0.49344109026399019</v>
          </cell>
          <cell r="AH54">
            <v>0.29041469673900111</v>
          </cell>
        </row>
        <row r="55">
          <cell r="AC55">
            <v>0.63253455762035948</v>
          </cell>
          <cell r="AH55">
            <v>0.36272926848838244</v>
          </cell>
        </row>
        <row r="56">
          <cell r="AC56">
            <v>0.30556630929011874</v>
          </cell>
          <cell r="AH56" t="str">
            <v/>
          </cell>
        </row>
        <row r="57">
          <cell r="AC57">
            <v>0.45384472597331588</v>
          </cell>
          <cell r="AH57">
            <v>0.2706264023348316</v>
          </cell>
        </row>
        <row r="58">
          <cell r="AC58">
            <v>0.54746486350485712</v>
          </cell>
          <cell r="AH58">
            <v>0.32505162955076661</v>
          </cell>
        </row>
        <row r="59">
          <cell r="AC59">
            <v>0.70923639443423003</v>
          </cell>
          <cell r="AH59">
            <v>0.4128267565529154</v>
          </cell>
        </row>
        <row r="60">
          <cell r="AC60">
            <v>0.63183721378609836</v>
          </cell>
          <cell r="AH60">
            <v>0.33136272149098434</v>
          </cell>
        </row>
        <row r="61">
          <cell r="AC61">
            <v>0.73403209703158334</v>
          </cell>
          <cell r="AH61">
            <v>0.38770316503733654</v>
          </cell>
        </row>
        <row r="62">
          <cell r="AC62">
            <v>0.35716276815680009</v>
          </cell>
          <cell r="AH62">
            <v>0.20974684955148556</v>
          </cell>
        </row>
        <row r="63">
          <cell r="AC63">
            <v>0.21849810209115278</v>
          </cell>
          <cell r="AH63">
            <v>0.13329067947239737</v>
          </cell>
        </row>
        <row r="64">
          <cell r="AC64">
            <v>0.59948939143214297</v>
          </cell>
          <cell r="AH64">
            <v>0.35061331954260944</v>
          </cell>
        </row>
        <row r="65">
          <cell r="AC65">
            <v>0.72435874195051941</v>
          </cell>
          <cell r="AH65">
            <v>0.41896285752962087</v>
          </cell>
        </row>
        <row r="66">
          <cell r="AC66">
            <v>0.63565127605486804</v>
          </cell>
          <cell r="AH66">
            <v>0.37099245932421765</v>
          </cell>
        </row>
        <row r="67">
          <cell r="AC67">
            <v>0.46194569865739066</v>
          </cell>
          <cell r="AH67">
            <v>0.23342078045239867</v>
          </cell>
        </row>
        <row r="68">
          <cell r="AC68">
            <v>0.43249942196670033</v>
          </cell>
          <cell r="AH68">
            <v>0.24678913337980521</v>
          </cell>
        </row>
        <row r="69">
          <cell r="AC69">
            <v>0.46575939293752516</v>
          </cell>
          <cell r="AH69" t="str">
            <v/>
          </cell>
        </row>
        <row r="70">
          <cell r="AC70">
            <v>0.56261738151662788</v>
          </cell>
          <cell r="AH70">
            <v>0.31923314581502249</v>
          </cell>
        </row>
        <row r="71">
          <cell r="AC71">
            <v>0.63965176520623535</v>
          </cell>
          <cell r="AH71">
            <v>0.36325922314912595</v>
          </cell>
        </row>
        <row r="72">
          <cell r="AC72">
            <v>0.3141864131645245</v>
          </cell>
          <cell r="AH72" t="str">
            <v/>
          </cell>
        </row>
        <row r="73">
          <cell r="AC73">
            <v>0.21389140927793146</v>
          </cell>
          <cell r="AH73" t="str">
            <v/>
          </cell>
        </row>
        <row r="74">
          <cell r="AC74">
            <v>0.39766408299572537</v>
          </cell>
          <cell r="AH74">
            <v>0.23764314343136511</v>
          </cell>
        </row>
        <row r="75">
          <cell r="AC75">
            <v>0.73818147057024619</v>
          </cell>
          <cell r="AH75">
            <v>0.43055429360384928</v>
          </cell>
        </row>
        <row r="76">
          <cell r="AC76">
            <v>0.63486065025442062</v>
          </cell>
          <cell r="AH76">
            <v>0.36515478556676662</v>
          </cell>
        </row>
        <row r="77">
          <cell r="AC77">
            <v>0.52131379418866297</v>
          </cell>
          <cell r="AH77">
            <v>0.25155933414248161</v>
          </cell>
        </row>
        <row r="78">
          <cell r="AC78">
            <v>0.59319051155971092</v>
          </cell>
          <cell r="AH78">
            <v>0.34433559921792656</v>
          </cell>
        </row>
        <row r="79">
          <cell r="AC79">
            <v>0.71912039408575146</v>
          </cell>
          <cell r="AH79">
            <v>0.41792110098052232</v>
          </cell>
        </row>
        <row r="80">
          <cell r="AC80">
            <v>0.51398669193075619</v>
          </cell>
          <cell r="AH80">
            <v>0.30018043906325892</v>
          </cell>
        </row>
        <row r="81">
          <cell r="AC81">
            <v>6.7447953900606414E-2</v>
          </cell>
          <cell r="AH81">
            <v>3.9279517377045089E-2</v>
          </cell>
        </row>
        <row r="82">
          <cell r="AC82">
            <v>0.497664</v>
          </cell>
          <cell r="AH82">
            <v>0.27317866846549893</v>
          </cell>
        </row>
        <row r="83">
          <cell r="AC83">
            <v>0.56647597797566285</v>
          </cell>
          <cell r="AH83">
            <v>0.32411563862317239</v>
          </cell>
        </row>
        <row r="84">
          <cell r="AC84">
            <v>0.51577502778769146</v>
          </cell>
          <cell r="AH84">
            <v>0.27264153560629695</v>
          </cell>
        </row>
        <row r="85">
          <cell r="AC85">
            <v>0.3166681245398475</v>
          </cell>
          <cell r="AH85">
            <v>0.18018134739216507</v>
          </cell>
        </row>
        <row r="86">
          <cell r="AC86">
            <v>0.52643101162801231</v>
          </cell>
          <cell r="AH86">
            <v>0.30210506803086373</v>
          </cell>
        </row>
        <row r="87">
          <cell r="AC87">
            <v>0.52350451980891244</v>
          </cell>
          <cell r="AH87">
            <v>0.30016774033119081</v>
          </cell>
        </row>
        <row r="88">
          <cell r="AC88">
            <v>0.51672623722819233</v>
          </cell>
          <cell r="AH88">
            <v>0.29868053518832399</v>
          </cell>
        </row>
        <row r="89">
          <cell r="AC89">
            <v>0.53318947758611712</v>
          </cell>
          <cell r="AH89">
            <v>0.30558184286654688</v>
          </cell>
        </row>
        <row r="90">
          <cell r="AC90">
            <v>0.53318330419295801</v>
          </cell>
          <cell r="AH90">
            <v>0.29872985810085778</v>
          </cell>
        </row>
        <row r="91">
          <cell r="AC91">
            <v>0.52194898067652407</v>
          </cell>
          <cell r="AH91">
            <v>0.29647731075304906</v>
          </cell>
        </row>
        <row r="92">
          <cell r="AC92">
            <v>0.38541316676590293</v>
          </cell>
          <cell r="AH92">
            <v>0.20904829754836426</v>
          </cell>
        </row>
        <row r="93">
          <cell r="AC93">
            <v>0.40963362847545365</v>
          </cell>
          <cell r="AH93">
            <v>0.22640771654460415</v>
          </cell>
        </row>
        <row r="94">
          <cell r="AC94">
            <v>0.41970287408178508</v>
          </cell>
          <cell r="AH94">
            <v>0.23749027638783637</v>
          </cell>
        </row>
        <row r="95">
          <cell r="AC95">
            <v>0.41097339819112833</v>
          </cell>
          <cell r="AH95">
            <v>0.22098313169560005</v>
          </cell>
        </row>
        <row r="96">
          <cell r="AC96">
            <v>0.4272872727271898</v>
          </cell>
          <cell r="AH96">
            <v>0.23052738228109437</v>
          </cell>
        </row>
        <row r="97">
          <cell r="AC97">
            <v>0.42772322881814984</v>
          </cell>
          <cell r="AH97">
            <v>0.22835715609414561</v>
          </cell>
        </row>
        <row r="98">
          <cell r="AC98">
            <v>0.44854094961882174</v>
          </cell>
          <cell r="AH98">
            <v>0.24563777355079711</v>
          </cell>
        </row>
        <row r="99">
          <cell r="AC99">
            <v>0.32267815235406577</v>
          </cell>
          <cell r="AH99">
            <v>0.17393586704899058</v>
          </cell>
        </row>
        <row r="100">
          <cell r="AC100">
            <v>0.33409402424292722</v>
          </cell>
          <cell r="AH100">
            <v>0.18172123077236729</v>
          </cell>
        </row>
        <row r="101">
          <cell r="AC101">
            <v>0.33167941565496967</v>
          </cell>
          <cell r="AH101">
            <v>0.18079404186646447</v>
          </cell>
        </row>
        <row r="102">
          <cell r="AC102">
            <v>0.38205537202937007</v>
          </cell>
          <cell r="AH102">
            <v>0.207339490108151</v>
          </cell>
        </row>
        <row r="103">
          <cell r="AC103">
            <v>0.4188672000024381</v>
          </cell>
          <cell r="AH103">
            <v>0.22650025865421494</v>
          </cell>
        </row>
        <row r="104">
          <cell r="AC104">
            <v>0.44437907653995262</v>
          </cell>
          <cell r="AH104">
            <v>0.21831090666439745</v>
          </cell>
        </row>
        <row r="105">
          <cell r="AC105">
            <v>0.47319838103707584</v>
          </cell>
          <cell r="AH105">
            <v>0.21165250114273576</v>
          </cell>
        </row>
        <row r="106">
          <cell r="AC106">
            <v>0.37448384057715767</v>
          </cell>
          <cell r="AH106">
            <v>0.20312931235501647</v>
          </cell>
        </row>
        <row r="107">
          <cell r="AC107">
            <v>0.37759667508422318</v>
          </cell>
          <cell r="AH107">
            <v>0.20985725741663672</v>
          </cell>
        </row>
        <row r="108">
          <cell r="AC108">
            <v>0.46304724271483216</v>
          </cell>
          <cell r="AH108">
            <v>0.24618009753998546</v>
          </cell>
        </row>
        <row r="109">
          <cell r="AC109">
            <v>0.29897244482185742</v>
          </cell>
          <cell r="AH109">
            <v>0.16432834871874502</v>
          </cell>
        </row>
        <row r="110">
          <cell r="AC110">
            <v>0.35500572226098043</v>
          </cell>
          <cell r="AH110">
            <v>0.19284124041150125</v>
          </cell>
        </row>
        <row r="111">
          <cell r="AC111">
            <v>0.29897244482185742</v>
          </cell>
          <cell r="AH111">
            <v>0.16759512954667266</v>
          </cell>
        </row>
        <row r="112">
          <cell r="AC112">
            <v>0.29208658726075826</v>
          </cell>
          <cell r="AH112">
            <v>0.16460719711352037</v>
          </cell>
        </row>
        <row r="113">
          <cell r="AC113">
            <v>0.22650330045113318</v>
          </cell>
          <cell r="AH113">
            <v>0.12742531419049136</v>
          </cell>
        </row>
        <row r="114">
          <cell r="AC114">
            <v>0.28184694533771437</v>
          </cell>
          <cell r="AH114">
            <v>0.15891352783151574</v>
          </cell>
        </row>
      </sheetData>
      <sheetData sheetId="11">
        <row r="5">
          <cell r="BA5">
            <v>4.467856910000001E-2</v>
          </cell>
          <cell r="CH5">
            <v>1.6713916999999967E-2</v>
          </cell>
          <cell r="CI5">
            <v>76.322065200000011</v>
          </cell>
          <cell r="CJ5">
            <v>54.017558461999997</v>
          </cell>
          <cell r="CK5">
            <v>7.4615623619999987</v>
          </cell>
          <cell r="CL5">
            <v>0</v>
          </cell>
          <cell r="CM5">
            <v>6.1325952640000008</v>
          </cell>
          <cell r="CN5">
            <v>189.32751074997</v>
          </cell>
          <cell r="CO5">
            <v>350</v>
          </cell>
          <cell r="CP5">
            <v>0.54093574499991426</v>
          </cell>
          <cell r="CQ5">
            <v>91.547878984376339</v>
          </cell>
          <cell r="CR5">
            <v>84.375</v>
          </cell>
        </row>
        <row r="6">
          <cell r="CH6">
            <v>0.31749031729999999</v>
          </cell>
          <cell r="CI6">
            <v>50.283254279999994</v>
          </cell>
          <cell r="CJ6">
            <v>33.768276161999999</v>
          </cell>
          <cell r="CK6">
            <v>3.9579765779999998</v>
          </cell>
          <cell r="CL6">
            <v>0</v>
          </cell>
          <cell r="CM6">
            <v>3.7133403839999999</v>
          </cell>
          <cell r="CN6">
            <v>119.68303245059501</v>
          </cell>
          <cell r="CO6">
            <v>140</v>
          </cell>
          <cell r="CP6">
            <v>0.85487880321853582</v>
          </cell>
          <cell r="CQ6">
            <v>94.657007479884157</v>
          </cell>
          <cell r="CR6">
            <v>93.75</v>
          </cell>
        </row>
        <row r="7">
          <cell r="CH7">
            <v>1.208836738</v>
          </cell>
          <cell r="CI7">
            <v>30.48884292</v>
          </cell>
          <cell r="CJ7">
            <v>16.117741624000001</v>
          </cell>
          <cell r="CK7">
            <v>2.5315970099999996</v>
          </cell>
          <cell r="CL7">
            <v>0</v>
          </cell>
          <cell r="CM7">
            <v>1.4354748239999999</v>
          </cell>
          <cell r="CN7">
            <v>64.919819834099997</v>
          </cell>
          <cell r="CO7">
            <v>180</v>
          </cell>
          <cell r="CP7">
            <v>0.36066566574499997</v>
          </cell>
          <cell r="CQ7">
            <v>97.101793757406256</v>
          </cell>
          <cell r="CR7">
            <v>91.964285714285708</v>
          </cell>
        </row>
        <row r="8">
          <cell r="CH8">
            <v>1.9209895589999997</v>
          </cell>
          <cell r="CI8">
            <v>15.78125844</v>
          </cell>
          <cell r="CJ8">
            <v>6.0256627309999997</v>
          </cell>
          <cell r="CK8">
            <v>0</v>
          </cell>
          <cell r="CL8">
            <v>0</v>
          </cell>
          <cell r="CM8">
            <v>0</v>
          </cell>
          <cell r="CN8">
            <v>26.65704360026</v>
          </cell>
          <cell r="CO8">
            <v>60</v>
          </cell>
          <cell r="CP8">
            <v>0.44428406000433335</v>
          </cell>
          <cell r="CQ8">
            <v>98.80995341070269</v>
          </cell>
          <cell r="CR8">
            <v>97.321428571428569</v>
          </cell>
        </row>
        <row r="9">
          <cell r="CH9">
            <v>1.1841289490000002</v>
          </cell>
          <cell r="CI9">
            <v>29.533424760000003</v>
          </cell>
          <cell r="CJ9">
            <v>15.040929810000002</v>
          </cell>
          <cell r="CK9">
            <v>2.1467585859999998</v>
          </cell>
          <cell r="CL9">
            <v>0</v>
          </cell>
          <cell r="CM9">
            <v>0</v>
          </cell>
          <cell r="CN9">
            <v>58.634114264970002</v>
          </cell>
          <cell r="CO9">
            <v>80</v>
          </cell>
          <cell r="CP9">
            <v>0.73292642831212507</v>
          </cell>
          <cell r="CQ9">
            <v>97.382405613170988</v>
          </cell>
          <cell r="CR9">
            <v>96.428571428571431</v>
          </cell>
        </row>
        <row r="10">
          <cell r="CH10">
            <v>1.2722994380000001</v>
          </cell>
          <cell r="CI10">
            <v>27.387049560000001</v>
          </cell>
          <cell r="CJ10">
            <v>11.845076344000001</v>
          </cell>
          <cell r="CK10">
            <v>2.198137306</v>
          </cell>
          <cell r="CL10">
            <v>0</v>
          </cell>
          <cell r="CM10">
            <v>0</v>
          </cell>
          <cell r="CN10">
            <v>51.636123008859997</v>
          </cell>
          <cell r="CO10">
            <v>50</v>
          </cell>
          <cell r="CP10">
            <v>1.0327224601772</v>
          </cell>
          <cell r="CQ10">
            <v>97.694815937104465</v>
          </cell>
          <cell r="CR10">
            <v>97.767857142857139</v>
          </cell>
        </row>
        <row r="11">
          <cell r="CH11">
            <v>1.3309037749999999</v>
          </cell>
          <cell r="CI11">
            <v>33.547344359999997</v>
          </cell>
          <cell r="CJ11">
            <v>15.858468194000002</v>
          </cell>
          <cell r="CK11">
            <v>0</v>
          </cell>
          <cell r="CL11">
            <v>0</v>
          </cell>
          <cell r="CM11">
            <v>0.6913616816</v>
          </cell>
          <cell r="CN11">
            <v>61.718139589854005</v>
          </cell>
          <cell r="CO11">
            <v>120</v>
          </cell>
          <cell r="CP11">
            <v>0.51431782991545005</v>
          </cell>
          <cell r="CQ11">
            <v>97.244725911167222</v>
          </cell>
          <cell r="CR11">
            <v>94.642857142857139</v>
          </cell>
        </row>
        <row r="12">
          <cell r="CH12">
            <v>1.4055391099999999</v>
          </cell>
          <cell r="CI12">
            <v>49.846804799999994</v>
          </cell>
          <cell r="CJ12">
            <v>29.026231842000001</v>
          </cell>
          <cell r="CK12">
            <v>1.9531951639999998</v>
          </cell>
          <cell r="CL12">
            <v>0</v>
          </cell>
          <cell r="CM12">
            <v>0</v>
          </cell>
          <cell r="CN12">
            <v>101.2124451044</v>
          </cell>
          <cell r="CO12">
            <v>160</v>
          </cell>
          <cell r="CP12">
            <v>0.63257778190250002</v>
          </cell>
          <cell r="CQ12">
            <v>95.481587272124983</v>
          </cell>
          <cell r="CR12">
            <v>92.857142857142861</v>
          </cell>
        </row>
        <row r="13">
          <cell r="CH13">
            <v>0</v>
          </cell>
          <cell r="CI13">
            <v>82.739229480000006</v>
          </cell>
          <cell r="CJ13">
            <v>64.678732024000013</v>
          </cell>
          <cell r="CK13">
            <v>6.8497495839999996</v>
          </cell>
          <cell r="CL13">
            <v>0</v>
          </cell>
          <cell r="CM13">
            <v>3.1479720639999997</v>
          </cell>
          <cell r="CN13">
            <v>205.08426815328002</v>
          </cell>
          <cell r="CO13">
            <v>350</v>
          </cell>
          <cell r="CP13">
            <v>0.58595505186651431</v>
          </cell>
          <cell r="CQ13">
            <v>90.844452314585723</v>
          </cell>
          <cell r="CR13">
            <v>84.375</v>
          </cell>
        </row>
        <row r="14">
          <cell r="CH14">
            <v>0.70389763199999988</v>
          </cell>
          <cell r="CI14">
            <v>114.07930332000001</v>
          </cell>
          <cell r="CJ14">
            <v>87.537463854999999</v>
          </cell>
          <cell r="CK14">
            <v>5.050800476</v>
          </cell>
          <cell r="CL14">
            <v>1.5864197039999999</v>
          </cell>
          <cell r="CM14">
            <v>5.3745349840000003</v>
          </cell>
          <cell r="CN14">
            <v>277.53658123961009</v>
          </cell>
          <cell r="CO14">
            <v>140</v>
          </cell>
          <cell r="CP14">
            <v>1.9824041517115005</v>
          </cell>
          <cell r="CQ14">
            <v>87.609974051803121</v>
          </cell>
          <cell r="CR14">
            <v>93.75</v>
          </cell>
        </row>
        <row r="15">
          <cell r="CH15">
            <v>1.7578957530000001</v>
          </cell>
          <cell r="CI15">
            <v>95.680473840000005</v>
          </cell>
          <cell r="CJ15">
            <v>76.563763910000006</v>
          </cell>
          <cell r="CK15">
            <v>4.1673448619999993</v>
          </cell>
          <cell r="CL15">
            <v>0</v>
          </cell>
          <cell r="CM15">
            <v>5.0622218959999996</v>
          </cell>
          <cell r="CN15">
            <v>236.51615434313001</v>
          </cell>
          <cell r="CO15">
            <v>310</v>
          </cell>
          <cell r="CP15">
            <v>0.76295533659074199</v>
          </cell>
          <cell r="CQ15">
            <v>89.441243109681707</v>
          </cell>
          <cell r="CR15">
            <v>86.160714285714292</v>
          </cell>
        </row>
        <row r="16">
          <cell r="CH16">
            <v>1.9116088119999999</v>
          </cell>
          <cell r="CI16">
            <v>79.737808200000003</v>
          </cell>
          <cell r="CJ16">
            <v>63.596820647999998</v>
          </cell>
          <cell r="CK16">
            <v>3.3640503860000002</v>
          </cell>
          <cell r="CL16">
            <v>0</v>
          </cell>
          <cell r="CM16">
            <v>4.4853837040000002</v>
          </cell>
          <cell r="CN16">
            <v>197.29247149535999</v>
          </cell>
          <cell r="CO16">
            <v>250</v>
          </cell>
          <cell r="CP16">
            <v>0.78916988598144</v>
          </cell>
          <cell r="CQ16">
            <v>91.192300379671437</v>
          </cell>
          <cell r="CR16">
            <v>88.839285714285708</v>
          </cell>
        </row>
        <row r="17">
          <cell r="CH17">
            <v>2.0673430779999999</v>
          </cell>
          <cell r="CI17">
            <v>67.385481119999994</v>
          </cell>
          <cell r="CJ17">
            <v>47.512134953</v>
          </cell>
          <cell r="CK17">
            <v>2.7253597459999996</v>
          </cell>
          <cell r="CL17">
            <v>0</v>
          </cell>
          <cell r="CM17">
            <v>3.3553934559999998</v>
          </cell>
          <cell r="CN17">
            <v>156.37451604268998</v>
          </cell>
          <cell r="CO17">
            <v>260</v>
          </cell>
          <cell r="CP17">
            <v>0.60144044631803839</v>
          </cell>
          <cell r="CQ17">
            <v>93.01899481952276</v>
          </cell>
          <cell r="CR17">
            <v>88.392857142857139</v>
          </cell>
        </row>
        <row r="18">
          <cell r="CH18">
            <v>1.618896441</v>
          </cell>
          <cell r="CI18">
            <v>73.481311080000012</v>
          </cell>
          <cell r="CJ18">
            <v>58.455127857999997</v>
          </cell>
          <cell r="CK18">
            <v>2.86183078</v>
          </cell>
          <cell r="CL18">
            <v>0</v>
          </cell>
          <cell r="CM18">
            <v>1.2746604160000001</v>
          </cell>
          <cell r="CN18">
            <v>175.26769894377</v>
          </cell>
          <cell r="CO18">
            <v>180</v>
          </cell>
          <cell r="CP18">
            <v>0.97370943857650005</v>
          </cell>
          <cell r="CQ18">
            <v>92.175549154295979</v>
          </cell>
          <cell r="CR18">
            <v>91.964285714285708</v>
          </cell>
        </row>
        <row r="19">
          <cell r="CH19">
            <v>1.187446075</v>
          </cell>
          <cell r="CI19">
            <v>72.023174040000001</v>
          </cell>
          <cell r="CJ19">
            <v>58.924799346</v>
          </cell>
          <cell r="CK19">
            <v>16.024748799999998</v>
          </cell>
          <cell r="CL19">
            <v>0</v>
          </cell>
          <cell r="CM19">
            <v>3.5521669519999999</v>
          </cell>
          <cell r="CN19">
            <v>202.86831275959</v>
          </cell>
          <cell r="CO19">
            <v>80</v>
          </cell>
          <cell r="CP19">
            <v>2.5358539094948749</v>
          </cell>
          <cell r="CQ19">
            <v>90.943378894661166</v>
          </cell>
          <cell r="CR19">
            <v>96.428571428571431</v>
          </cell>
        </row>
        <row r="20">
          <cell r="CH20">
            <v>1.2243344359999999</v>
          </cell>
          <cell r="CI20">
            <v>62.104278599999994</v>
          </cell>
          <cell r="CJ20">
            <v>48.868673278999999</v>
          </cell>
          <cell r="CK20">
            <v>2.7393707819999999</v>
          </cell>
          <cell r="CL20">
            <v>0</v>
          </cell>
          <cell r="CM20">
            <v>2.7422088079999996</v>
          </cell>
          <cell r="CN20">
            <v>151.25155259745</v>
          </cell>
          <cell r="CO20">
            <v>210</v>
          </cell>
          <cell r="CP20">
            <v>0.72024548855928572</v>
          </cell>
          <cell r="CQ20">
            <v>93.247698544756702</v>
          </cell>
          <cell r="CR20">
            <v>90.625</v>
          </cell>
        </row>
        <row r="21">
          <cell r="CH21">
            <v>1.2830934300000001</v>
          </cell>
          <cell r="CI21">
            <v>65.946642359999998</v>
          </cell>
          <cell r="CJ21">
            <v>41.586288545999999</v>
          </cell>
          <cell r="CK21">
            <v>2.7080415740000001</v>
          </cell>
          <cell r="CL21">
            <v>0</v>
          </cell>
          <cell r="CM21">
            <v>2.9643596319999999</v>
          </cell>
          <cell r="CN21">
            <v>144.78321504412</v>
          </cell>
          <cell r="CO21">
            <v>220</v>
          </cell>
          <cell r="CP21">
            <v>0.65810552292781821</v>
          </cell>
          <cell r="CQ21">
            <v>93.536463614101777</v>
          </cell>
          <cell r="CR21">
            <v>90.178571428571431</v>
          </cell>
        </row>
        <row r="22">
          <cell r="CH22">
            <v>1.3534996960000001</v>
          </cell>
          <cell r="CI22">
            <v>97.338619200000011</v>
          </cell>
          <cell r="CJ22">
            <v>81.724538932000002</v>
          </cell>
          <cell r="CK22">
            <v>3.536375794</v>
          </cell>
          <cell r="CL22">
            <v>0.82056751199999989</v>
          </cell>
          <cell r="CM22">
            <v>5.3578309200000005</v>
          </cell>
          <cell r="CN22">
            <v>246.88971311864003</v>
          </cell>
          <cell r="CO22">
            <v>280</v>
          </cell>
          <cell r="CP22">
            <v>0.88174897542371444</v>
          </cell>
          <cell r="CQ22">
            <v>88.978137807203566</v>
          </cell>
          <cell r="CR22">
            <v>87.5</v>
          </cell>
        </row>
        <row r="23">
          <cell r="CH23">
            <v>1.3303491429999998</v>
          </cell>
          <cell r="CI23">
            <v>78.148297440000007</v>
          </cell>
          <cell r="CJ23">
            <v>73.309667597000001</v>
          </cell>
          <cell r="CK23">
            <v>4.0254997320000001</v>
          </cell>
          <cell r="CL23">
            <v>0</v>
          </cell>
          <cell r="CM23">
            <v>5.3037316720000005</v>
          </cell>
          <cell r="CN23">
            <v>212.92792065544</v>
          </cell>
          <cell r="CO23">
            <v>470</v>
          </cell>
          <cell r="CP23">
            <v>0.45303812905412766</v>
          </cell>
          <cell r="CQ23">
            <v>90.49428925645357</v>
          </cell>
          <cell r="CR23">
            <v>79.017857142857139</v>
          </cell>
        </row>
        <row r="24">
          <cell r="CH24"/>
          <cell r="CI24"/>
          <cell r="CJ24"/>
          <cell r="CK24"/>
          <cell r="CL24"/>
          <cell r="CM24"/>
          <cell r="CN24"/>
          <cell r="CO24">
            <v>190</v>
          </cell>
          <cell r="CP24" t="str">
            <v/>
          </cell>
          <cell r="CQ24"/>
          <cell r="CR24">
            <v>91.517857142857139</v>
          </cell>
        </row>
        <row r="25">
          <cell r="CH25">
            <v>0.54473958</v>
          </cell>
          <cell r="CI25">
            <v>34.104270120000002</v>
          </cell>
          <cell r="CJ25">
            <v>29.481975494000004</v>
          </cell>
          <cell r="CK25">
            <v>2.3920255360000002</v>
          </cell>
          <cell r="CL25">
            <v>0</v>
          </cell>
          <cell r="CM25">
            <v>0</v>
          </cell>
          <cell r="CN25">
            <v>85.55349735286002</v>
          </cell>
          <cell r="CO25">
            <v>150</v>
          </cell>
          <cell r="CP25">
            <v>0.5703566490190668</v>
          </cell>
          <cell r="CQ25">
            <v>96.180647439604456</v>
          </cell>
          <cell r="CR25">
            <v>93.303571428571431</v>
          </cell>
        </row>
        <row r="26">
          <cell r="CH26">
            <v>0.47367202199999991</v>
          </cell>
          <cell r="CI26">
            <v>30.620715960000002</v>
          </cell>
          <cell r="CJ26">
            <v>29.758046405999998</v>
          </cell>
          <cell r="CK26">
            <v>2.6756715039999999</v>
          </cell>
          <cell r="CL26">
            <v>0</v>
          </cell>
          <cell r="CM26">
            <v>2.8425182239999995</v>
          </cell>
          <cell r="CN26">
            <v>88.533060672200008</v>
          </cell>
          <cell r="CO26">
            <v>40</v>
          </cell>
          <cell r="CP26">
            <v>2.213326516805</v>
          </cell>
          <cell r="CQ26">
            <v>96.047631219991075</v>
          </cell>
          <cell r="CR26">
            <v>98.214285714285708</v>
          </cell>
        </row>
        <row r="27">
          <cell r="CH27">
            <v>0.251040604</v>
          </cell>
          <cell r="CI27">
            <v>46.81577472</v>
          </cell>
          <cell r="CJ27">
            <v>54.518905724</v>
          </cell>
          <cell r="CK27">
            <v>4.0355171060000004</v>
          </cell>
          <cell r="CL27">
            <v>0</v>
          </cell>
          <cell r="CM27">
            <v>4.15538396</v>
          </cell>
          <cell r="CN27">
            <v>148.32591521636002</v>
          </cell>
          <cell r="CO27">
            <v>470</v>
          </cell>
          <cell r="CP27">
            <v>0.31558705365182982</v>
          </cell>
          <cell r="CQ27">
            <v>93.378307356412492</v>
          </cell>
          <cell r="CR27">
            <v>79.017857142857139</v>
          </cell>
        </row>
        <row r="28">
          <cell r="CH28">
            <v>1.2488609029999997</v>
          </cell>
          <cell r="CI28">
            <v>57.808470959999994</v>
          </cell>
          <cell r="CJ28">
            <v>61.965554843000007</v>
          </cell>
          <cell r="CK28">
            <v>4.8426502219999996</v>
          </cell>
          <cell r="CL28">
            <v>0</v>
          </cell>
          <cell r="CM28">
            <v>5.180095144</v>
          </cell>
          <cell r="CN28">
            <v>175.24117055398</v>
          </cell>
          <cell r="CO28">
            <v>780</v>
          </cell>
          <cell r="CP28">
            <v>0.22466816737689743</v>
          </cell>
          <cell r="CQ28">
            <v>92.176733457411615</v>
          </cell>
          <cell r="CR28">
            <v>65.178571428571431</v>
          </cell>
        </row>
        <row r="29">
          <cell r="CH29">
            <v>1.1940643280000001</v>
          </cell>
          <cell r="CI29">
            <v>42.159563159999998</v>
          </cell>
          <cell r="CJ29">
            <v>70.527363019999996</v>
          </cell>
          <cell r="CK29">
            <v>5.3345424100000001</v>
          </cell>
          <cell r="CL29">
            <v>0</v>
          </cell>
          <cell r="CM29">
            <v>4.7975550719999998</v>
          </cell>
          <cell r="CN29">
            <v>171.52085278927999</v>
          </cell>
          <cell r="CO29">
            <v>230</v>
          </cell>
          <cell r="CP29">
            <v>0.74574283821426079</v>
          </cell>
          <cell r="CQ29">
            <v>92.342819071907144</v>
          </cell>
          <cell r="CR29">
            <v>89.732142857142861</v>
          </cell>
        </row>
        <row r="30">
          <cell r="CH30">
            <v>1.1683859330000002</v>
          </cell>
          <cell r="CI30">
            <v>21.708931440000001</v>
          </cell>
          <cell r="CJ30">
            <v>0</v>
          </cell>
          <cell r="CK30">
            <v>3.7080146759999999</v>
          </cell>
          <cell r="CL30">
            <v>0</v>
          </cell>
          <cell r="CM30">
            <v>0</v>
          </cell>
          <cell r="CN30">
            <v>30.38607842767</v>
          </cell>
          <cell r="CO30">
            <v>500</v>
          </cell>
          <cell r="CP30">
            <v>6.0772156855340001E-2</v>
          </cell>
          <cell r="CQ30">
            <v>98.643478641621883</v>
          </cell>
          <cell r="CR30">
            <v>77.678571428571431</v>
          </cell>
        </row>
        <row r="31">
          <cell r="CH31">
            <v>0.45618511500000003</v>
          </cell>
          <cell r="CI31">
            <v>17.813876280000002</v>
          </cell>
          <cell r="CJ31">
            <v>43.034893158000003</v>
          </cell>
          <cell r="CK31">
            <v>3.1903519259999999</v>
          </cell>
          <cell r="CL31">
            <v>0</v>
          </cell>
          <cell r="CM31">
            <v>0.57998582320000003</v>
          </cell>
          <cell r="CN31">
            <v>91.192812663078016</v>
          </cell>
          <cell r="CO31"/>
          <cell r="CP31" t="str">
            <v/>
          </cell>
          <cell r="CQ31">
            <v>95.928892291826884</v>
          </cell>
          <cell r="CR31">
            <v>100</v>
          </cell>
        </row>
        <row r="32">
          <cell r="CH32">
            <v>1.195818885</v>
          </cell>
          <cell r="CI32">
            <v>16.000144559999999</v>
          </cell>
          <cell r="CJ32">
            <v>55.506429508000004</v>
          </cell>
          <cell r="CK32">
            <v>3.7888401940000001</v>
          </cell>
          <cell r="CL32">
            <v>0</v>
          </cell>
          <cell r="CM32">
            <v>0</v>
          </cell>
          <cell r="CN32">
            <v>108.24908899911001</v>
          </cell>
          <cell r="CO32">
            <v>170</v>
          </cell>
          <cell r="CP32">
            <v>0.63675934705358828</v>
          </cell>
          <cell r="CQ32">
            <v>95.167451383968299</v>
          </cell>
          <cell r="CR32">
            <v>92.410714285714292</v>
          </cell>
        </row>
        <row r="33">
          <cell r="CH33">
            <v>1.3180245799999999</v>
          </cell>
          <cell r="CI33">
            <v>14.096982000000001</v>
          </cell>
          <cell r="CJ33">
            <v>46.76322132</v>
          </cell>
          <cell r="CK33">
            <v>2.7952377579999999</v>
          </cell>
          <cell r="CL33">
            <v>0</v>
          </cell>
          <cell r="CM33">
            <v>0</v>
          </cell>
          <cell r="CN33">
            <v>91.244876255759991</v>
          </cell>
          <cell r="CO33">
            <v>100</v>
          </cell>
          <cell r="CP33">
            <v>0.91244876255759988</v>
          </cell>
          <cell r="CQ33">
            <v>95.926568024296415</v>
          </cell>
          <cell r="CR33">
            <v>95.535714285714292</v>
          </cell>
        </row>
        <row r="34">
          <cell r="CH34">
            <v>0.83275891099999988</v>
          </cell>
          <cell r="CI34">
            <v>15.57404064</v>
          </cell>
          <cell r="CJ34">
            <v>62.340427484000003</v>
          </cell>
          <cell r="CK34">
            <v>3.2169935639999996</v>
          </cell>
          <cell r="CL34">
            <v>0</v>
          </cell>
          <cell r="CM34">
            <v>0</v>
          </cell>
          <cell r="CN34">
            <v>116.94466289097001</v>
          </cell>
          <cell r="CO34">
            <v>180</v>
          </cell>
          <cell r="CP34">
            <v>0.64969257161650007</v>
          </cell>
          <cell r="CQ34">
            <v>94.77925612093884</v>
          </cell>
          <cell r="CR34">
            <v>91.964285714285708</v>
          </cell>
        </row>
        <row r="35">
          <cell r="CH35">
            <v>0.92700368699999991</v>
          </cell>
          <cell r="CI35">
            <v>17.783829480000001</v>
          </cell>
          <cell r="CJ35">
            <v>104.45843202300001</v>
          </cell>
          <cell r="CK35">
            <v>2.6843970280000002</v>
          </cell>
          <cell r="CL35">
            <v>0</v>
          </cell>
          <cell r="CM35">
            <v>0</v>
          </cell>
          <cell r="CN35">
            <v>181.97098377974004</v>
          </cell>
          <cell r="CO35">
            <v>380</v>
          </cell>
          <cell r="CP35">
            <v>0.4788710099466843</v>
          </cell>
          <cell r="CQ35">
            <v>91.876295366975896</v>
          </cell>
          <cell r="CR35">
            <v>83.035714285714292</v>
          </cell>
        </row>
        <row r="36">
          <cell r="CH36">
            <v>2.3792649149999998</v>
          </cell>
          <cell r="CI36">
            <v>19.080037920000002</v>
          </cell>
          <cell r="CJ36">
            <v>105.55810047600001</v>
          </cell>
          <cell r="CK36">
            <v>3.2859266799999998</v>
          </cell>
          <cell r="CL36">
            <v>0</v>
          </cell>
          <cell r="CM36">
            <v>0</v>
          </cell>
          <cell r="CN36">
            <v>186.62150157101004</v>
          </cell>
          <cell r="CO36">
            <v>110</v>
          </cell>
          <cell r="CP36">
            <v>1.6965591051910003</v>
          </cell>
          <cell r="CQ36">
            <v>91.668682965579919</v>
          </cell>
          <cell r="CR36">
            <v>95.089285714285708</v>
          </cell>
        </row>
        <row r="37">
          <cell r="CH37">
            <v>1.3930065599999999</v>
          </cell>
          <cell r="CI37">
            <v>15.269595600000001</v>
          </cell>
          <cell r="CJ37">
            <v>90.881478789000013</v>
          </cell>
          <cell r="CK37">
            <v>2.0629950319999999</v>
          </cell>
          <cell r="CL37">
            <v>0</v>
          </cell>
          <cell r="CM37">
            <v>0</v>
          </cell>
          <cell r="CN37">
            <v>157.81170351763004</v>
          </cell>
          <cell r="CO37">
            <v>270</v>
          </cell>
          <cell r="CP37">
            <v>0.58448779080603719</v>
          </cell>
          <cell r="CQ37">
            <v>92.954834664391512</v>
          </cell>
          <cell r="CR37">
            <v>87.946428571428569</v>
          </cell>
        </row>
        <row r="38">
          <cell r="CH38">
            <v>1.0630378509999998</v>
          </cell>
          <cell r="CI38">
            <v>19.212681839999998</v>
          </cell>
          <cell r="CJ38">
            <v>132.16872995000003</v>
          </cell>
          <cell r="CK38">
            <v>3.114841448</v>
          </cell>
          <cell r="CL38">
            <v>0</v>
          </cell>
          <cell r="CM38">
            <v>0</v>
          </cell>
          <cell r="CN38">
            <v>226.17342647651003</v>
          </cell>
          <cell r="CO38">
            <v>160</v>
          </cell>
          <cell r="CP38">
            <v>1.4135839154781877</v>
          </cell>
          <cell r="CQ38">
            <v>89.902972032298649</v>
          </cell>
          <cell r="CR38">
            <v>92.857142857142861</v>
          </cell>
        </row>
        <row r="39">
          <cell r="CH39">
            <v>1.0513319160000001</v>
          </cell>
          <cell r="CI39">
            <v>17.800499760000001</v>
          </cell>
          <cell r="CJ39">
            <v>121.03963044900001</v>
          </cell>
          <cell r="CK39">
            <v>2.4081182959999996</v>
          </cell>
          <cell r="CL39">
            <v>0</v>
          </cell>
          <cell r="CM39">
            <v>0</v>
          </cell>
          <cell r="CN39">
            <v>206.56711819051</v>
          </cell>
          <cell r="CO39">
            <v>250</v>
          </cell>
          <cell r="CP39">
            <v>0.82626847276203996</v>
          </cell>
          <cell r="CQ39">
            <v>90.778253652209372</v>
          </cell>
          <cell r="CR39">
            <v>88.839285714285708</v>
          </cell>
        </row>
        <row r="40">
          <cell r="CH40">
            <v>1.647310665</v>
          </cell>
          <cell r="CI40">
            <v>14.27775336</v>
          </cell>
          <cell r="CJ40">
            <v>90.267676132000005</v>
          </cell>
          <cell r="CK40">
            <v>0</v>
          </cell>
          <cell r="CL40">
            <v>0</v>
          </cell>
          <cell r="CM40">
            <v>0</v>
          </cell>
          <cell r="CN40">
            <v>152.15794578727002</v>
          </cell>
          <cell r="CO40">
            <v>210</v>
          </cell>
          <cell r="CP40">
            <v>0.72456164660604772</v>
          </cell>
          <cell r="CQ40">
            <v>93.207234563068312</v>
          </cell>
          <cell r="CR40">
            <v>90.625</v>
          </cell>
        </row>
        <row r="41">
          <cell r="CH41">
            <v>1.201994499</v>
          </cell>
          <cell r="CI41">
            <v>17.711130240000003</v>
          </cell>
          <cell r="CJ41">
            <v>118.053215446</v>
          </cell>
          <cell r="CK41">
            <v>2.5478300279999999</v>
          </cell>
          <cell r="CL41">
            <v>0</v>
          </cell>
          <cell r="CM41">
            <v>0</v>
          </cell>
          <cell r="CN41">
            <v>202.26901340587</v>
          </cell>
          <cell r="CO41">
            <v>270</v>
          </cell>
          <cell r="CP41">
            <v>0.74914449409581485</v>
          </cell>
          <cell r="CQ41">
            <v>90.970133330095081</v>
          </cell>
          <cell r="CR41">
            <v>87.946428571428569</v>
          </cell>
        </row>
        <row r="42">
          <cell r="CH42">
            <v>1.6473639950000001</v>
          </cell>
          <cell r="CI42">
            <v>44.454639359999994</v>
          </cell>
          <cell r="CJ42">
            <v>132.24258220900001</v>
          </cell>
          <cell r="CK42">
            <v>3.03656272</v>
          </cell>
          <cell r="CL42">
            <v>0</v>
          </cell>
          <cell r="CM42">
            <v>2.4916572959999996</v>
          </cell>
          <cell r="CN42">
            <v>258.43886568328003</v>
          </cell>
          <cell r="CO42">
            <v>330</v>
          </cell>
          <cell r="CP42">
            <v>0.78314807782812135</v>
          </cell>
          <cell r="CQ42">
            <v>88.46255063913928</v>
          </cell>
          <cell r="CR42">
            <v>85.267857142857139</v>
          </cell>
        </row>
        <row r="43">
          <cell r="CH43">
            <v>1.762892774</v>
          </cell>
          <cell r="CI43">
            <v>39.785226479999999</v>
          </cell>
          <cell r="CJ43">
            <v>165.12716259999999</v>
          </cell>
          <cell r="CK43">
            <v>3.437648926</v>
          </cell>
          <cell r="CL43">
            <v>0</v>
          </cell>
          <cell r="CM43">
            <v>2.1540330159999996</v>
          </cell>
          <cell r="CN43">
            <v>303.17996872845998</v>
          </cell>
          <cell r="CO43">
            <v>340</v>
          </cell>
          <cell r="CP43">
            <v>0.89170579037782349</v>
          </cell>
          <cell r="CQ43">
            <v>86.465179967479472</v>
          </cell>
          <cell r="CR43">
            <v>84.821428571428569</v>
          </cell>
        </row>
        <row r="44">
          <cell r="CH44">
            <v>2.2551713379999998</v>
          </cell>
          <cell r="CI44">
            <v>32.898438599999992</v>
          </cell>
          <cell r="CJ44">
            <v>151.15120062600002</v>
          </cell>
          <cell r="CK44">
            <v>5.6450662400000002</v>
          </cell>
          <cell r="CL44">
            <v>0</v>
          </cell>
          <cell r="CM44">
            <v>1.8375439120000001</v>
          </cell>
          <cell r="CN44">
            <v>278.25156235283998</v>
          </cell>
          <cell r="CO44">
            <v>380</v>
          </cell>
          <cell r="CP44">
            <v>0.73224095356010521</v>
          </cell>
          <cell r="CQ44">
            <v>87.578055252105358</v>
          </cell>
          <cell r="CR44">
            <v>83.035714285714292</v>
          </cell>
        </row>
        <row r="45">
          <cell r="CH45">
            <v>2.2141605679999996</v>
          </cell>
          <cell r="CI45">
            <v>23.54952132</v>
          </cell>
          <cell r="CJ45">
            <v>102.891861199</v>
          </cell>
          <cell r="CK45">
            <v>5.1351250619999993</v>
          </cell>
          <cell r="CL45">
            <v>0</v>
          </cell>
          <cell r="CM45">
            <v>1.6317003360000002</v>
          </cell>
          <cell r="CN45">
            <v>194.01425071996999</v>
          </cell>
          <cell r="CO45">
            <v>190</v>
          </cell>
          <cell r="CP45">
            <v>1.0211276353682632</v>
          </cell>
          <cell r="CQ45">
            <v>91.3386495214299</v>
          </cell>
          <cell r="CR45">
            <v>91.517857142857139</v>
          </cell>
        </row>
        <row r="46">
          <cell r="CH46">
            <v>1.2773977859999999</v>
          </cell>
          <cell r="CI46">
            <v>32.830758840000001</v>
          </cell>
          <cell r="CJ46">
            <v>89.302049392000001</v>
          </cell>
          <cell r="CK46">
            <v>4.9369109799999995</v>
          </cell>
          <cell r="CL46">
            <v>0</v>
          </cell>
          <cell r="CM46">
            <v>2.1891323359999997</v>
          </cell>
          <cell r="CN46">
            <v>183.87310371486004</v>
          </cell>
          <cell r="CO46">
            <v>250</v>
          </cell>
          <cell r="CP46">
            <v>0.73549241485944017</v>
          </cell>
          <cell r="CQ46">
            <v>91.791379298443758</v>
          </cell>
          <cell r="CR46">
            <v>88.839285714285708</v>
          </cell>
        </row>
        <row r="47">
          <cell r="CH47">
            <v>2.1076712239999997</v>
          </cell>
          <cell r="CI47">
            <v>30.110148120000002</v>
          </cell>
          <cell r="CJ47">
            <v>89.72461847400001</v>
          </cell>
          <cell r="CK47">
            <v>4.5859337900000003</v>
          </cell>
          <cell r="CL47">
            <v>0</v>
          </cell>
          <cell r="CM47">
            <v>2.0978835519999999</v>
          </cell>
          <cell r="CN47">
            <v>181.06579925642001</v>
          </cell>
          <cell r="CO47">
            <v>270</v>
          </cell>
          <cell r="CP47">
            <v>0.67061407132007411</v>
          </cell>
          <cell r="CQ47">
            <v>91.916705390338379</v>
          </cell>
          <cell r="CR47">
            <v>87.946428571428569</v>
          </cell>
        </row>
        <row r="48">
          <cell r="CH48">
            <v>1.7222766460000001</v>
          </cell>
          <cell r="CI48">
            <v>29.26631484</v>
          </cell>
          <cell r="CJ48">
            <v>84.670267107000015</v>
          </cell>
          <cell r="CK48">
            <v>4.7843250399999997</v>
          </cell>
          <cell r="CL48">
            <v>0</v>
          </cell>
          <cell r="CM48">
            <v>1.631124008</v>
          </cell>
          <cell r="CN48">
            <v>171.80482158559002</v>
          </cell>
          <cell r="CO48">
            <v>330</v>
          </cell>
          <cell r="CP48">
            <v>0.52062067147148494</v>
          </cell>
          <cell r="CQ48">
            <v>92.330141893500439</v>
          </cell>
          <cell r="CR48">
            <v>85.267857142857139</v>
          </cell>
        </row>
        <row r="49">
          <cell r="CH49">
            <v>1.6281971930000001</v>
          </cell>
          <cell r="CI49">
            <v>34.394865600000003</v>
          </cell>
          <cell r="CJ49">
            <v>76.697028808000013</v>
          </cell>
          <cell r="CK49">
            <v>4.3713242860000001</v>
          </cell>
          <cell r="CL49">
            <v>0</v>
          </cell>
          <cell r="CM49">
            <v>2.2085196319999998</v>
          </cell>
          <cell r="CN49">
            <v>165.64607895943001</v>
          </cell>
          <cell r="CO49">
            <v>220</v>
          </cell>
          <cell r="CP49">
            <v>0.7529367225428637</v>
          </cell>
          <cell r="CQ49">
            <v>92.60508576073974</v>
          </cell>
          <cell r="CR49">
            <v>90.178571428571431</v>
          </cell>
        </row>
        <row r="50">
          <cell r="CH50">
            <v>2.4756962209999998</v>
          </cell>
          <cell r="CI50">
            <v>22.31673528</v>
          </cell>
          <cell r="CJ50">
            <v>49.047249338999997</v>
          </cell>
          <cell r="CK50">
            <v>4.1506615419999999</v>
          </cell>
          <cell r="CL50">
            <v>0</v>
          </cell>
          <cell r="CM50">
            <v>1.2095542479999999</v>
          </cell>
          <cell r="CN50">
            <v>108.8284416012</v>
          </cell>
          <cell r="CO50">
            <v>730</v>
          </cell>
          <cell r="CP50">
            <v>0.14908005698794521</v>
          </cell>
          <cell r="CQ50">
            <v>95.141587428517852</v>
          </cell>
          <cell r="CR50">
            <v>67.410714285714292</v>
          </cell>
        </row>
        <row r="51">
          <cell r="CH51">
            <v>2.8083527619999997</v>
          </cell>
          <cell r="CI51">
            <v>3.9638432400000001</v>
          </cell>
          <cell r="CJ51">
            <v>4.1451032840000002</v>
          </cell>
          <cell r="CK51">
            <v>0</v>
          </cell>
          <cell r="CL51">
            <v>0</v>
          </cell>
          <cell r="CM51">
            <v>0</v>
          </cell>
          <cell r="CN51">
            <v>11.483341692340002</v>
          </cell>
          <cell r="CO51">
            <v>350</v>
          </cell>
          <cell r="CP51">
            <v>3.2809547692400007E-2</v>
          </cell>
          <cell r="CQ51">
            <v>99.487350817306236</v>
          </cell>
          <cell r="CR51">
            <v>84.375</v>
          </cell>
        </row>
        <row r="52">
          <cell r="CH52">
            <v>2.1521217790000002</v>
          </cell>
          <cell r="CI52">
            <v>10.175927160000001</v>
          </cell>
          <cell r="CJ52">
            <v>14.089706134000002</v>
          </cell>
          <cell r="CK52">
            <v>0</v>
          </cell>
          <cell r="CL52">
            <v>0</v>
          </cell>
          <cell r="CM52">
            <v>0</v>
          </cell>
          <cell r="CN52">
            <v>32.916940946190003</v>
          </cell>
          <cell r="CO52">
            <v>280</v>
          </cell>
          <cell r="CP52">
            <v>0.11756050337925002</v>
          </cell>
          <cell r="CQ52">
            <v>98.530493707759376</v>
          </cell>
          <cell r="CR52">
            <v>87.5</v>
          </cell>
        </row>
        <row r="53">
          <cell r="CH53">
            <v>0.27116361289999996</v>
          </cell>
          <cell r="CI53">
            <v>19.459389720000001</v>
          </cell>
          <cell r="CJ53">
            <v>26.064766309000003</v>
          </cell>
          <cell r="CK53">
            <v>0</v>
          </cell>
          <cell r="CL53">
            <v>0</v>
          </cell>
          <cell r="CM53">
            <v>0</v>
          </cell>
          <cell r="CN53">
            <v>60.274251391505011</v>
          </cell>
          <cell r="CO53">
            <v>30</v>
          </cell>
          <cell r="CP53">
            <v>2.009141713050167</v>
          </cell>
          <cell r="CQ53">
            <v>97.309185205736384</v>
          </cell>
          <cell r="CR53">
            <v>98.660714285714292</v>
          </cell>
        </row>
        <row r="54">
          <cell r="CH54">
            <v>0.30605636530000002</v>
          </cell>
          <cell r="CI54">
            <v>13.914441120000001</v>
          </cell>
          <cell r="CJ54">
            <v>27.533970227000001</v>
          </cell>
          <cell r="CK54">
            <v>0</v>
          </cell>
          <cell r="CL54">
            <v>0</v>
          </cell>
          <cell r="CM54">
            <v>0</v>
          </cell>
          <cell r="CN54">
            <v>56.571866769025</v>
          </cell>
          <cell r="CO54">
            <v>220</v>
          </cell>
          <cell r="CP54">
            <v>0.25714484895011364</v>
          </cell>
          <cell r="CQ54">
            <v>97.474470233525679</v>
          </cell>
          <cell r="CR54">
            <v>90.178571428571431</v>
          </cell>
        </row>
        <row r="55">
          <cell r="CH55">
            <v>1.2589189410000001</v>
          </cell>
          <cell r="CI55">
            <v>32.752339319999997</v>
          </cell>
          <cell r="CJ55">
            <v>59.135754883000004</v>
          </cell>
          <cell r="CK55">
            <v>2.835860904</v>
          </cell>
          <cell r="CL55">
            <v>0</v>
          </cell>
          <cell r="CM55">
            <v>1.0663792559999998</v>
          </cell>
          <cell r="CN55">
            <v>132.1172951026</v>
          </cell>
          <cell r="CO55">
            <v>370</v>
          </cell>
          <cell r="CP55">
            <v>0.35707377054756756</v>
          </cell>
          <cell r="CQ55">
            <v>94.101906468633928</v>
          </cell>
          <cell r="CR55">
            <v>83.482142857142861</v>
          </cell>
        </row>
        <row r="56">
          <cell r="CH56">
            <v>0.68379755499999995</v>
          </cell>
          <cell r="CI56">
            <v>12.74910708</v>
          </cell>
          <cell r="CJ56">
            <v>20.247372415000001</v>
          </cell>
          <cell r="CK56">
            <v>2.0270594559999999</v>
          </cell>
          <cell r="CL56">
            <v>0</v>
          </cell>
          <cell r="CM56">
            <v>0</v>
          </cell>
          <cell r="CN56">
            <v>48.143654276420001</v>
          </cell>
          <cell r="CO56">
            <v>220</v>
          </cell>
          <cell r="CP56">
            <v>0.21883479216554547</v>
          </cell>
          <cell r="CQ56">
            <v>97.850729719802672</v>
          </cell>
          <cell r="CR56">
            <v>90.178571428571431</v>
          </cell>
        </row>
        <row r="57">
          <cell r="CH57">
            <v>1.8973270379999998</v>
          </cell>
          <cell r="CI57">
            <v>13.33233912</v>
          </cell>
          <cell r="CJ57">
            <v>19.179617350000001</v>
          </cell>
          <cell r="CK57">
            <v>0</v>
          </cell>
          <cell r="CL57">
            <v>0</v>
          </cell>
          <cell r="CM57">
            <v>0</v>
          </cell>
          <cell r="CN57">
            <v>43.890889520200005</v>
          </cell>
          <cell r="CO57">
            <v>320</v>
          </cell>
          <cell r="CP57">
            <v>0.13715902975062502</v>
          </cell>
          <cell r="CQ57">
            <v>98.040585289276791</v>
          </cell>
          <cell r="CR57">
            <v>85.714285714285708</v>
          </cell>
        </row>
        <row r="58">
          <cell r="CH58">
            <v>2.4679367059999997</v>
          </cell>
          <cell r="CI58">
            <v>22.6408728</v>
          </cell>
          <cell r="CJ58">
            <v>44.975203386999993</v>
          </cell>
          <cell r="CK58">
            <v>1.9641869619999999</v>
          </cell>
          <cell r="CL58">
            <v>0</v>
          </cell>
          <cell r="CM58">
            <v>0</v>
          </cell>
          <cell r="CN58">
            <v>96.57688912831</v>
          </cell>
          <cell r="CO58">
            <v>220</v>
          </cell>
          <cell r="CP58">
            <v>0.43898585967413639</v>
          </cell>
          <cell r="CQ58">
            <v>95.68853173534329</v>
          </cell>
          <cell r="CR58">
            <v>90.178571428571431</v>
          </cell>
        </row>
        <row r="59">
          <cell r="CH59">
            <v>2.6173567000000002</v>
          </cell>
          <cell r="CI59">
            <v>32.608754159999997</v>
          </cell>
          <cell r="CJ59">
            <v>78.867257999000017</v>
          </cell>
          <cell r="CK59">
            <v>2.9764658580000001</v>
          </cell>
          <cell r="CL59">
            <v>0</v>
          </cell>
          <cell r="CM59">
            <v>0</v>
          </cell>
          <cell r="CN59">
            <v>160.31416923625002</v>
          </cell>
          <cell r="CO59">
            <v>290</v>
          </cell>
          <cell r="CP59">
            <v>0.55280748012500003</v>
          </cell>
          <cell r="CQ59">
            <v>92.843117444810261</v>
          </cell>
          <cell r="CR59">
            <v>87.053571428571431</v>
          </cell>
        </row>
        <row r="60">
          <cell r="CH60">
            <v>2.3013177869999999</v>
          </cell>
          <cell r="CI60">
            <v>28.766880960000002</v>
          </cell>
          <cell r="CJ60">
            <v>78.867257999000017</v>
          </cell>
          <cell r="CK60">
            <v>3.4265094879999998</v>
          </cell>
          <cell r="CL60">
            <v>0.51255529919999998</v>
          </cell>
          <cell r="CM60">
            <v>1.8874199039999997</v>
          </cell>
          <cell r="CN60">
            <v>161.69501794800402</v>
          </cell>
          <cell r="CO60">
            <v>250</v>
          </cell>
          <cell r="CP60">
            <v>0.64678007179201613</v>
          </cell>
          <cell r="CQ60">
            <v>92.781472413035544</v>
          </cell>
          <cell r="CR60">
            <v>88.839285714285708</v>
          </cell>
        </row>
        <row r="61">
          <cell r="CH61">
            <v>1.3054386999999998</v>
          </cell>
          <cell r="CI61">
            <v>24.35948844</v>
          </cell>
          <cell r="CJ61">
            <v>81.964026427000007</v>
          </cell>
          <cell r="CK61">
            <v>2.7471883200000002</v>
          </cell>
          <cell r="CL61">
            <v>0</v>
          </cell>
          <cell r="CM61">
            <v>1.1774499440000001</v>
          </cell>
          <cell r="CN61">
            <v>157.68911670873001</v>
          </cell>
          <cell r="CO61">
            <v>250</v>
          </cell>
          <cell r="CP61">
            <v>0.63075646683492004</v>
          </cell>
          <cell r="CQ61">
            <v>92.96030728978883</v>
          </cell>
          <cell r="CR61">
            <v>88.839285714285708</v>
          </cell>
        </row>
        <row r="62">
          <cell r="CH62">
            <v>1.9935770219999998</v>
          </cell>
          <cell r="CI62">
            <v>10.63315536</v>
          </cell>
          <cell r="CJ62">
            <v>40.002042895999999</v>
          </cell>
          <cell r="CK62">
            <v>2.3882385699999999</v>
          </cell>
          <cell r="CL62">
            <v>0</v>
          </cell>
          <cell r="CM62">
            <v>0</v>
          </cell>
          <cell r="CN62">
            <v>76.824907163259994</v>
          </cell>
          <cell r="CO62">
            <v>240</v>
          </cell>
          <cell r="CP62">
            <v>0.32010377984691663</v>
          </cell>
          <cell r="CQ62">
            <v>96.570316644497325</v>
          </cell>
          <cell r="CR62">
            <v>89.285714285714292</v>
          </cell>
        </row>
        <row r="63">
          <cell r="CH63">
            <v>0.77741303699999997</v>
          </cell>
          <cell r="CI63">
            <v>18.869430000000001</v>
          </cell>
          <cell r="CJ63">
            <v>39.714493399999995</v>
          </cell>
          <cell r="CK63">
            <v>0</v>
          </cell>
          <cell r="CL63">
            <v>0</v>
          </cell>
          <cell r="CM63">
            <v>0</v>
          </cell>
          <cell r="CN63">
            <v>80.431269696949997</v>
          </cell>
          <cell r="CO63">
            <v>170</v>
          </cell>
          <cell r="CP63">
            <v>0.47312511586441175</v>
          </cell>
          <cell r="CQ63">
            <v>96.409318317100443</v>
          </cell>
          <cell r="CR63">
            <v>92.410714285714292</v>
          </cell>
        </row>
        <row r="64">
          <cell r="CH64">
            <v>0.84603274799999995</v>
          </cell>
          <cell r="CI64">
            <v>31.577176560000002</v>
          </cell>
          <cell r="CJ64">
            <v>95.991815670000008</v>
          </cell>
          <cell r="CK64">
            <v>2.1285029</v>
          </cell>
          <cell r="CL64">
            <v>0</v>
          </cell>
          <cell r="CM64">
            <v>0</v>
          </cell>
          <cell r="CN64">
            <v>182.90520732070001</v>
          </cell>
          <cell r="CO64">
            <v>420</v>
          </cell>
          <cell r="CP64">
            <v>0.43548858885880953</v>
          </cell>
          <cell r="CQ64">
            <v>91.834588958897328</v>
          </cell>
          <cell r="CR64">
            <v>81.25</v>
          </cell>
        </row>
        <row r="65">
          <cell r="CH65">
            <v>1.9068731079999997</v>
          </cell>
          <cell r="CI65">
            <v>29.309720640000002</v>
          </cell>
          <cell r="CJ65">
            <v>110.52246011000001</v>
          </cell>
          <cell r="CK65">
            <v>2.7260610359999999</v>
          </cell>
          <cell r="CL65">
            <v>0</v>
          </cell>
          <cell r="CM65">
            <v>0</v>
          </cell>
          <cell r="CN65">
            <v>203.87915252422002</v>
          </cell>
          <cell r="CO65">
            <v>400</v>
          </cell>
          <cell r="CP65">
            <v>0.50969788131055005</v>
          </cell>
          <cell r="CQ65">
            <v>90.898252119454469</v>
          </cell>
          <cell r="CR65">
            <v>82.142857142857139</v>
          </cell>
        </row>
        <row r="66">
          <cell r="CH66">
            <v>2.565109299</v>
          </cell>
          <cell r="CI66">
            <v>24.17053524</v>
          </cell>
          <cell r="CJ66">
            <v>112.80711872000001</v>
          </cell>
          <cell r="CK66">
            <v>2.9606314679999999</v>
          </cell>
          <cell r="CL66">
            <v>0</v>
          </cell>
          <cell r="CM66">
            <v>0.57369439999999994</v>
          </cell>
          <cell r="CN66">
            <v>203.65769607641002</v>
          </cell>
          <cell r="CO66">
            <v>220</v>
          </cell>
          <cell r="CP66">
            <v>0.92571680034731829</v>
          </cell>
          <cell r="CQ66">
            <v>90.908138568017407</v>
          </cell>
          <cell r="CR66">
            <v>90.178571428571431</v>
          </cell>
        </row>
        <row r="67">
          <cell r="CH67">
            <v>3.3396102230000002</v>
          </cell>
          <cell r="CI67">
            <v>26.235346080000003</v>
          </cell>
          <cell r="CJ67">
            <v>169.59796140000003</v>
          </cell>
          <cell r="CK67">
            <v>4.8345374039999989</v>
          </cell>
          <cell r="CL67">
            <v>0</v>
          </cell>
          <cell r="CM67">
            <v>1.1728015279999999</v>
          </cell>
          <cell r="CN67">
            <v>296.52497879005006</v>
          </cell>
          <cell r="CO67">
            <v>690</v>
          </cell>
          <cell r="CP67">
            <v>0.42974634607253631</v>
          </cell>
          <cell r="CQ67">
            <v>86.762277732587052</v>
          </cell>
          <cell r="CR67">
            <v>69.196428571428569</v>
          </cell>
        </row>
        <row r="68">
          <cell r="CH68">
            <v>3.0891298789999997</v>
          </cell>
          <cell r="CI68">
            <v>24.793077692400001</v>
          </cell>
          <cell r="CJ68">
            <v>215.130725872</v>
          </cell>
          <cell r="CK68">
            <v>4.9847684860000001</v>
          </cell>
          <cell r="CL68">
            <v>0</v>
          </cell>
          <cell r="CM68">
            <v>1.5493704639999999</v>
          </cell>
          <cell r="CN68">
            <v>364.69017904631806</v>
          </cell>
          <cell r="CO68">
            <v>410</v>
          </cell>
          <cell r="CP68">
            <v>0.88948824157638551</v>
          </cell>
          <cell r="CQ68">
            <v>83.71918843543223</v>
          </cell>
          <cell r="CR68">
            <v>81.696428571428569</v>
          </cell>
        </row>
        <row r="69">
          <cell r="CH69">
            <v>1.26373464</v>
          </cell>
          <cell r="CI69">
            <v>25.092174840000002</v>
          </cell>
          <cell r="CJ69">
            <v>222.31043394000002</v>
          </cell>
          <cell r="CK69">
            <v>4.0490556939999998</v>
          </cell>
          <cell r="CL69">
            <v>0</v>
          </cell>
          <cell r="CM69">
            <v>1.5405271360000001</v>
          </cell>
          <cell r="CN69">
            <v>373.4916461727201</v>
          </cell>
          <cell r="CO69">
            <v>590</v>
          </cell>
          <cell r="CP69">
            <v>0.63303668842833916</v>
          </cell>
          <cell r="CQ69">
            <v>83.326265795860706</v>
          </cell>
          <cell r="CR69">
            <v>73.660714285714292</v>
          </cell>
        </row>
        <row r="70">
          <cell r="CH70">
            <v>1.2763311859999997</v>
          </cell>
          <cell r="CI70">
            <v>24.209639880000001</v>
          </cell>
          <cell r="CJ70">
            <v>188.87594164100003</v>
          </cell>
          <cell r="CK70">
            <v>3.6465964359999998</v>
          </cell>
          <cell r="CL70">
            <v>0</v>
          </cell>
          <cell r="CM70">
            <v>1.1688995040000001</v>
          </cell>
          <cell r="CN70">
            <v>320.57506296629009</v>
          </cell>
          <cell r="CO70">
            <v>400</v>
          </cell>
          <cell r="CP70">
            <v>0.80143765741572526</v>
          </cell>
          <cell r="CQ70">
            <v>85.68861326043347</v>
          </cell>
          <cell r="CR70">
            <v>82.142857142857139</v>
          </cell>
        </row>
        <row r="71">
          <cell r="CH71">
            <v>1.220633334</v>
          </cell>
          <cell r="CI71">
            <v>26.086846560000001</v>
          </cell>
          <cell r="CJ71">
            <v>208.209468724</v>
          </cell>
          <cell r="CK71">
            <v>3.8458661439999999</v>
          </cell>
          <cell r="CL71">
            <v>0</v>
          </cell>
          <cell r="CM71">
            <v>1.471764592</v>
          </cell>
          <cell r="CN71">
            <v>352.73832140910002</v>
          </cell>
          <cell r="CO71">
            <v>510</v>
          </cell>
          <cell r="CP71">
            <v>0.69164376746882361</v>
          </cell>
          <cell r="CQ71">
            <v>84.252753508522318</v>
          </cell>
          <cell r="CR71">
            <v>77.232142857142861</v>
          </cell>
        </row>
        <row r="72">
          <cell r="CH72">
            <v>0.88135854000000002</v>
          </cell>
          <cell r="CI72">
            <v>7.29617352</v>
          </cell>
          <cell r="CJ72">
            <v>94.867343971000011</v>
          </cell>
          <cell r="CK72">
            <v>3.1096002279999997</v>
          </cell>
          <cell r="CL72">
            <v>0</v>
          </cell>
          <cell r="CM72">
            <v>0</v>
          </cell>
          <cell r="CN72">
            <v>157.02454296657001</v>
          </cell>
          <cell r="CO72">
            <v>110</v>
          </cell>
          <cell r="CP72">
            <v>1.4274958451506365</v>
          </cell>
          <cell r="CQ72">
            <v>92.989975760420975</v>
          </cell>
          <cell r="CR72">
            <v>95.089285714285708</v>
          </cell>
        </row>
        <row r="73">
          <cell r="CH73">
            <v>0.8733377080000001</v>
          </cell>
          <cell r="CI73">
            <v>0.51180931200000002</v>
          </cell>
          <cell r="CJ73">
            <v>1.3854350961000002</v>
          </cell>
          <cell r="CK73">
            <v>0</v>
          </cell>
          <cell r="CL73">
            <v>0</v>
          </cell>
          <cell r="CM73">
            <v>0</v>
          </cell>
          <cell r="CN73">
            <v>2.9453111567510004</v>
          </cell>
          <cell r="CO73">
            <v>230</v>
          </cell>
          <cell r="CP73">
            <v>1.2805700681526089E-2</v>
          </cell>
          <cell r="CQ73">
            <v>99.868512894787912</v>
          </cell>
          <cell r="CR73">
            <v>89.732142857142861</v>
          </cell>
        </row>
        <row r="74">
          <cell r="CH74">
            <v>1.655198172</v>
          </cell>
          <cell r="CI74">
            <v>22.8894816</v>
          </cell>
          <cell r="CJ74">
            <v>140.82998872500002</v>
          </cell>
          <cell r="CK74">
            <v>4.3565898139999994</v>
          </cell>
          <cell r="CL74">
            <v>0</v>
          </cell>
          <cell r="CM74">
            <v>1.00461768</v>
          </cell>
          <cell r="CN74">
            <v>247.70276117563003</v>
          </cell>
          <cell r="CO74">
            <v>290</v>
          </cell>
          <cell r="CP74">
            <v>0.85414745232975875</v>
          </cell>
          <cell r="CQ74">
            <v>88.941841018945084</v>
          </cell>
          <cell r="CR74">
            <v>87.053571428571431</v>
          </cell>
        </row>
        <row r="75">
          <cell r="CH75">
            <v>2.7559133729999998</v>
          </cell>
          <cell r="CI75">
            <v>16.428088079999998</v>
          </cell>
          <cell r="CJ75">
            <v>73.816507398000013</v>
          </cell>
          <cell r="CK75">
            <v>3.4134433479999999</v>
          </cell>
          <cell r="CL75">
            <v>0</v>
          </cell>
          <cell r="CM75">
            <v>1.7118382719999996</v>
          </cell>
          <cell r="CN75">
            <v>139.71016706537</v>
          </cell>
          <cell r="CO75">
            <v>200</v>
          </cell>
          <cell r="CP75">
            <v>0.69855083532685003</v>
          </cell>
          <cell r="CQ75">
            <v>93.762938970295977</v>
          </cell>
          <cell r="CR75">
            <v>91.071428571428569</v>
          </cell>
        </row>
        <row r="76">
          <cell r="CH76">
            <v>2.0464003869999998</v>
          </cell>
          <cell r="CI76">
            <v>22.076255760000002</v>
          </cell>
          <cell r="CJ76">
            <v>104.98028720100001</v>
          </cell>
          <cell r="CK76">
            <v>2.6437664999999999</v>
          </cell>
          <cell r="CL76">
            <v>0</v>
          </cell>
          <cell r="CM76">
            <v>0</v>
          </cell>
          <cell r="CN76">
            <v>187.66972250216</v>
          </cell>
          <cell r="CO76">
            <v>90</v>
          </cell>
          <cell r="CP76">
            <v>2.0852191389128887</v>
          </cell>
          <cell r="CQ76">
            <v>91.621887388296429</v>
          </cell>
          <cell r="CR76">
            <v>95.982142857142861</v>
          </cell>
        </row>
        <row r="77">
          <cell r="CH77">
            <v>1.2725767540000001</v>
          </cell>
          <cell r="CI77">
            <v>20.125973160000001</v>
          </cell>
          <cell r="CJ77">
            <v>99.505861699000008</v>
          </cell>
          <cell r="CK77">
            <v>3.3572884739999997</v>
          </cell>
          <cell r="CL77">
            <v>0</v>
          </cell>
          <cell r="CM77">
            <v>0</v>
          </cell>
          <cell r="CN77">
            <v>178.34430933327002</v>
          </cell>
          <cell r="CO77">
            <v>340</v>
          </cell>
          <cell r="CP77">
            <v>0.52454208627432364</v>
          </cell>
          <cell r="CQ77">
            <v>92.03820047619331</v>
          </cell>
          <cell r="CR77">
            <v>84.821428571428569</v>
          </cell>
        </row>
        <row r="78">
          <cell r="CH78">
            <v>1.4840941999999999</v>
          </cell>
          <cell r="CI78">
            <v>28.373460600000001</v>
          </cell>
          <cell r="CJ78">
            <v>103.38073372600002</v>
          </cell>
          <cell r="CK78">
            <v>2.8741144279999995</v>
          </cell>
          <cell r="CL78">
            <v>0</v>
          </cell>
          <cell r="CM78">
            <v>0</v>
          </cell>
          <cell r="CN78">
            <v>192.21483199722005</v>
          </cell>
          <cell r="CO78">
            <v>310</v>
          </cell>
          <cell r="CP78">
            <v>0.6200478451523227</v>
          </cell>
          <cell r="CQ78">
            <v>91.418980714409827</v>
          </cell>
          <cell r="CR78">
            <v>86.160714285714292</v>
          </cell>
        </row>
        <row r="79">
          <cell r="CH79">
            <v>1.362112491</v>
          </cell>
          <cell r="CI79">
            <v>29.618440559999996</v>
          </cell>
          <cell r="CJ79">
            <v>155.44128484000001</v>
          </cell>
          <cell r="CK79">
            <v>2.8614321519999999</v>
          </cell>
          <cell r="CL79">
            <v>0</v>
          </cell>
          <cell r="CM79">
            <v>0</v>
          </cell>
          <cell r="CN79">
            <v>272.09261739609002</v>
          </cell>
          <cell r="CO79">
            <v>520</v>
          </cell>
          <cell r="CP79">
            <v>0.52325503345401925</v>
          </cell>
          <cell r="CQ79">
            <v>87.853008151960267</v>
          </cell>
          <cell r="CR79">
            <v>76.785714285714292</v>
          </cell>
        </row>
        <row r="80">
          <cell r="CH80">
            <v>1.2766191679999999</v>
          </cell>
          <cell r="CI80">
            <v>16.93953192</v>
          </cell>
          <cell r="CJ80">
            <v>123.62955907600002</v>
          </cell>
          <cell r="CK80">
            <v>2.6586264660000003</v>
          </cell>
          <cell r="CL80">
            <v>0</v>
          </cell>
          <cell r="CM80">
            <v>0</v>
          </cell>
          <cell r="CN80">
            <v>210.09145023608002</v>
          </cell>
          <cell r="CO80">
            <v>580</v>
          </cell>
          <cell r="CP80">
            <v>0.36222663833806901</v>
          </cell>
          <cell r="CQ80">
            <v>90.620917400175003</v>
          </cell>
          <cell r="CR80">
            <v>74.107142857142861</v>
          </cell>
        </row>
        <row r="81">
          <cell r="CH81">
            <v>1.7875685649999999</v>
          </cell>
          <cell r="CI81">
            <v>13.60938288</v>
          </cell>
          <cell r="CJ81">
            <v>58.338468523000003</v>
          </cell>
          <cell r="CK81">
            <v>0</v>
          </cell>
          <cell r="CL81">
            <v>0</v>
          </cell>
          <cell r="CM81">
            <v>0</v>
          </cell>
          <cell r="CN81">
            <v>103.27877614908</v>
          </cell>
          <cell r="CO81">
            <v>230</v>
          </cell>
          <cell r="CP81">
            <v>0.44903815716991308</v>
          </cell>
          <cell r="CQ81">
            <v>95.389340350487501</v>
          </cell>
          <cell r="CR81">
            <v>89.732142857142861</v>
          </cell>
        </row>
        <row r="82">
          <cell r="CH82">
            <v>1.5965778360000003</v>
          </cell>
          <cell r="CI82">
            <v>9.0895820400000016</v>
          </cell>
          <cell r="CJ82">
            <v>98.148656226</v>
          </cell>
          <cell r="CK82">
            <v>2.5748112380000001</v>
          </cell>
          <cell r="CL82">
            <v>0</v>
          </cell>
          <cell r="CM82">
            <v>0</v>
          </cell>
          <cell r="CN82">
            <v>163.17528237982003</v>
          </cell>
          <cell r="CO82">
            <v>280</v>
          </cell>
          <cell r="CP82">
            <v>0.58276886564221442</v>
          </cell>
          <cell r="CQ82">
            <v>92.715389179472325</v>
          </cell>
          <cell r="CR82">
            <v>87.5</v>
          </cell>
        </row>
        <row r="83">
          <cell r="CH83">
            <v>0.6103781439999999</v>
          </cell>
          <cell r="CI83">
            <v>12.332604119999999</v>
          </cell>
          <cell r="CJ83">
            <v>120.52560739400001</v>
          </cell>
          <cell r="CK83">
            <v>2.6618597819999996</v>
          </cell>
          <cell r="CL83">
            <v>0</v>
          </cell>
          <cell r="CM83">
            <v>0</v>
          </cell>
          <cell r="CN83">
            <v>200.24777072698001</v>
          </cell>
          <cell r="CO83">
            <v>540</v>
          </cell>
          <cell r="CP83">
            <v>0.37082920504996297</v>
          </cell>
          <cell r="CQ83">
            <v>91.060367378259826</v>
          </cell>
          <cell r="CR83">
            <v>75.892857142857139</v>
          </cell>
        </row>
        <row r="84">
          <cell r="CH84">
            <v>2.1990628449999998</v>
          </cell>
          <cell r="CI84">
            <v>10.8385686</v>
          </cell>
          <cell r="CJ84">
            <v>70.916437666999997</v>
          </cell>
          <cell r="CK84">
            <v>2.2726881240000001</v>
          </cell>
          <cell r="CL84">
            <v>0</v>
          </cell>
          <cell r="CM84">
            <v>2.6154827839999997</v>
          </cell>
          <cell r="CN84">
            <v>128.92263853995999</v>
          </cell>
          <cell r="CO84">
            <v>440</v>
          </cell>
          <cell r="CP84">
            <v>0.29300599668172728</v>
          </cell>
          <cell r="CQ84">
            <v>94.244525065180355</v>
          </cell>
          <cell r="CR84">
            <v>80.357142857142861</v>
          </cell>
        </row>
        <row r="85">
          <cell r="CH85">
            <v>1.7640660340000003</v>
          </cell>
          <cell r="CI85">
            <v>33.045606599999999</v>
          </cell>
          <cell r="CJ85">
            <v>148.55098148500002</v>
          </cell>
          <cell r="CK85">
            <v>2.8192661679999995</v>
          </cell>
          <cell r="CL85">
            <v>0</v>
          </cell>
          <cell r="CM85">
            <v>7.9562765679999989</v>
          </cell>
          <cell r="CN85">
            <v>281.65007284073005</v>
          </cell>
          <cell r="CO85">
            <v>340</v>
          </cell>
          <cell r="CP85">
            <v>0.8283825671786178</v>
          </cell>
          <cell r="CQ85">
            <v>87.426336033895979</v>
          </cell>
          <cell r="CR85">
            <v>84.821428571428569</v>
          </cell>
        </row>
        <row r="86">
          <cell r="CH86">
            <v>1.7864006379999999</v>
          </cell>
          <cell r="CI86">
            <v>35.898493319999993</v>
          </cell>
          <cell r="CJ86">
            <v>164.35374730800001</v>
          </cell>
          <cell r="CK86">
            <v>3.1039234699999998</v>
          </cell>
          <cell r="CL86">
            <v>0</v>
          </cell>
          <cell r="CM86">
            <v>9.8142257679999982</v>
          </cell>
          <cell r="CN86">
            <v>312.88094779289997</v>
          </cell>
          <cell r="CO86">
            <v>410</v>
          </cell>
          <cell r="CP86">
            <v>0.76312426290951219</v>
          </cell>
          <cell r="CQ86">
            <v>86.032100544959832</v>
          </cell>
          <cell r="CR86">
            <v>81.696428571428569</v>
          </cell>
        </row>
        <row r="87">
          <cell r="CH87">
            <v>0.49528133799999996</v>
          </cell>
          <cell r="CI87">
            <v>35.900385479999997</v>
          </cell>
          <cell r="CJ87">
            <v>186.82175033300001</v>
          </cell>
          <cell r="CK87">
            <v>3.2866870260000001</v>
          </cell>
          <cell r="CL87">
            <v>0</v>
          </cell>
          <cell r="CM87">
            <v>4.4156480160000005</v>
          </cell>
          <cell r="CN87">
            <v>335.67729627469004</v>
          </cell>
          <cell r="CO87">
            <v>480</v>
          </cell>
          <cell r="CP87">
            <v>0.69932770057227089</v>
          </cell>
          <cell r="CQ87">
            <v>85.014406416308489</v>
          </cell>
          <cell r="CR87">
            <v>78.571428571428569</v>
          </cell>
        </row>
        <row r="88">
          <cell r="CH88">
            <v>1.8143935550000001</v>
          </cell>
          <cell r="CI88">
            <v>39.172262999999994</v>
          </cell>
          <cell r="CJ88">
            <v>215.543150664</v>
          </cell>
          <cell r="CK88">
            <v>3.4808114799999998</v>
          </cell>
          <cell r="CL88">
            <v>0</v>
          </cell>
          <cell r="CM88">
            <v>1.1613977919999998</v>
          </cell>
          <cell r="CN88">
            <v>376.72384504616997</v>
          </cell>
          <cell r="CO88">
            <v>480</v>
          </cell>
          <cell r="CP88">
            <v>0.78484134384618742</v>
          </cell>
          <cell r="CQ88">
            <v>83.181971203295973</v>
          </cell>
          <cell r="CR88">
            <v>78.571428571428569</v>
          </cell>
        </row>
        <row r="89">
          <cell r="CH89">
            <v>2.0448004869999998</v>
          </cell>
          <cell r="CI89">
            <v>42.171765839999999</v>
          </cell>
          <cell r="CJ89">
            <v>224.668634083</v>
          </cell>
          <cell r="CK89">
            <v>3.8623870599999997</v>
          </cell>
          <cell r="CL89">
            <v>0</v>
          </cell>
          <cell r="CM89">
            <v>0.91013767999999995</v>
          </cell>
          <cell r="CN89">
            <v>393.97533240097999</v>
          </cell>
          <cell r="CO89">
            <v>350</v>
          </cell>
          <cell r="CP89">
            <v>1.1256438068599428</v>
          </cell>
          <cell r="CQ89">
            <v>82.411815517813395</v>
          </cell>
          <cell r="CR89">
            <v>84.375</v>
          </cell>
        </row>
        <row r="90">
          <cell r="CH90">
            <v>1.9528542339999997</v>
          </cell>
          <cell r="CI90">
            <v>48.334916399999997</v>
          </cell>
          <cell r="CJ90">
            <v>247.00315287400002</v>
          </cell>
          <cell r="CK90">
            <v>3.9581537459999998</v>
          </cell>
          <cell r="CL90">
            <v>0</v>
          </cell>
          <cell r="CM90">
            <v>1.1997377760000001</v>
          </cell>
          <cell r="CN90">
            <v>435.02792525040002</v>
          </cell>
          <cell r="CO90">
            <v>540</v>
          </cell>
          <cell r="CP90">
            <v>0.80560726898222224</v>
          </cell>
          <cell r="CQ90">
            <v>80.579110479892847</v>
          </cell>
          <cell r="CR90">
            <v>75.892857142857139</v>
          </cell>
        </row>
        <row r="91">
          <cell r="CH91">
            <v>0.84980851199999996</v>
          </cell>
          <cell r="CI91">
            <v>45.470764319999994</v>
          </cell>
          <cell r="CJ91">
            <v>198.19941235600001</v>
          </cell>
          <cell r="CK91">
            <v>3.41802757</v>
          </cell>
          <cell r="CL91">
            <v>0</v>
          </cell>
          <cell r="CM91">
            <v>0.20729340159999998</v>
          </cell>
          <cell r="CN91">
            <v>354.87595217582401</v>
          </cell>
          <cell r="CO91">
            <v>390</v>
          </cell>
          <cell r="CP91">
            <v>0.9099383389123693</v>
          </cell>
          <cell r="CQ91">
            <v>84.157323563579283</v>
          </cell>
          <cell r="CR91">
            <v>82.589285714285708</v>
          </cell>
        </row>
        <row r="92">
          <cell r="CH92">
            <v>4.2666776110000004</v>
          </cell>
          <cell r="CI92">
            <v>42.117558959999997</v>
          </cell>
          <cell r="CJ92">
            <v>228.697973488</v>
          </cell>
          <cell r="CK92">
            <v>3.7997064979999999</v>
          </cell>
          <cell r="CL92">
            <v>0</v>
          </cell>
          <cell r="CM92">
            <v>0</v>
          </cell>
          <cell r="CN92">
            <v>398.80853104428996</v>
          </cell>
          <cell r="CO92">
            <v>560</v>
          </cell>
          <cell r="CP92">
            <v>0.71215809115051776</v>
          </cell>
          <cell r="CQ92">
            <v>82.196047721237051</v>
          </cell>
          <cell r="CR92">
            <v>75</v>
          </cell>
        </row>
        <row r="93">
          <cell r="CH93">
            <v>0.75081736600000004</v>
          </cell>
          <cell r="CI93">
            <v>46.486205999999996</v>
          </cell>
          <cell r="CJ93">
            <v>241.44046291000004</v>
          </cell>
          <cell r="CK93">
            <v>3.9872314439999998</v>
          </cell>
          <cell r="CL93">
            <v>0</v>
          </cell>
          <cell r="CM93">
            <v>0.52529607519999999</v>
          </cell>
          <cell r="CN93">
            <v>422.90649071368807</v>
          </cell>
          <cell r="CO93">
            <v>720</v>
          </cell>
          <cell r="CP93">
            <v>0.58737012599123339</v>
          </cell>
          <cell r="CQ93">
            <v>81.12024595028177</v>
          </cell>
          <cell r="CR93">
            <v>67.857142857142861</v>
          </cell>
        </row>
        <row r="94">
          <cell r="CH94">
            <v>1.9438521299999998</v>
          </cell>
          <cell r="CI94">
            <v>43.744422359999994</v>
          </cell>
          <cell r="CJ94">
            <v>328.01251919500004</v>
          </cell>
          <cell r="CK94">
            <v>5.3310802519999996</v>
          </cell>
          <cell r="CL94">
            <v>0</v>
          </cell>
          <cell r="CM94">
            <v>1.1811535599999998</v>
          </cell>
          <cell r="CN94">
            <v>554.89790347618998</v>
          </cell>
          <cell r="CO94">
            <v>520</v>
          </cell>
          <cell r="CP94">
            <v>1.067111352838827</v>
          </cell>
          <cell r="CQ94">
            <v>75.227772166241508</v>
          </cell>
          <cell r="CR94">
            <v>76.785714285714292</v>
          </cell>
        </row>
        <row r="95">
          <cell r="CH95">
            <v>4.4364430000000006</v>
          </cell>
          <cell r="CI95">
            <v>45.61294788</v>
          </cell>
          <cell r="CJ95">
            <v>324.39682920800004</v>
          </cell>
          <cell r="CK95">
            <v>4.3228171639999999</v>
          </cell>
          <cell r="CL95">
            <v>0.84149423999999973</v>
          </cell>
          <cell r="CM95">
            <v>0</v>
          </cell>
          <cell r="CN95">
            <v>549.59686814096005</v>
          </cell>
          <cell r="CO95">
            <v>620</v>
          </cell>
          <cell r="CP95">
            <v>0.88644656151767753</v>
          </cell>
          <cell r="CQ95">
            <v>75.464425529421433</v>
          </cell>
          <cell r="CR95">
            <v>72.321428571428569</v>
          </cell>
        </row>
        <row r="96">
          <cell r="CH96">
            <v>3.7881261889999998</v>
          </cell>
          <cell r="CI96">
            <v>46.040891399999992</v>
          </cell>
          <cell r="CJ96">
            <v>233.73208197000002</v>
          </cell>
          <cell r="CK96">
            <v>4.9962548780000002</v>
          </cell>
          <cell r="CL96">
            <v>0</v>
          </cell>
          <cell r="CM96">
            <v>0</v>
          </cell>
          <cell r="CN96">
            <v>412.61822561681004</v>
          </cell>
          <cell r="CO96">
            <v>740</v>
          </cell>
          <cell r="CP96">
            <v>0.55759219677947303</v>
          </cell>
          <cell r="CQ96">
            <v>81.579543499249553</v>
          </cell>
          <cell r="CR96">
            <v>66.964285714285708</v>
          </cell>
        </row>
        <row r="97">
          <cell r="CH97">
            <v>3.6299814069999998</v>
          </cell>
          <cell r="CI97">
            <v>50.395014359999998</v>
          </cell>
          <cell r="CJ97">
            <v>332.99245168499999</v>
          </cell>
          <cell r="CK97">
            <v>4.4666701980000001</v>
          </cell>
          <cell r="CL97">
            <v>0</v>
          </cell>
          <cell r="CM97">
            <v>3.6968536240000001</v>
          </cell>
          <cell r="CN97">
            <v>573.68268205532002</v>
          </cell>
          <cell r="CO97">
            <v>720</v>
          </cell>
          <cell r="CP97">
            <v>0.79678150285461113</v>
          </cell>
          <cell r="CQ97">
            <v>74.389165979673209</v>
          </cell>
          <cell r="CR97">
            <v>67.857142857142861</v>
          </cell>
        </row>
        <row r="98">
          <cell r="CH98">
            <v>0</v>
          </cell>
          <cell r="CI98">
            <v>46.858251959999997</v>
          </cell>
          <cell r="CJ98">
            <v>329.76789262</v>
          </cell>
          <cell r="CK98">
            <v>4.5147048719999994</v>
          </cell>
          <cell r="CL98">
            <v>0</v>
          </cell>
          <cell r="CM98">
            <v>1.354703872</v>
          </cell>
          <cell r="CN98">
            <v>559.0682062193199</v>
          </cell>
          <cell r="CO98">
            <v>620</v>
          </cell>
          <cell r="CP98">
            <v>0.90172291325696763</v>
          </cell>
          <cell r="CQ98">
            <v>75.041597936637487</v>
          </cell>
          <cell r="CR98">
            <v>72.321428571428569</v>
          </cell>
        </row>
        <row r="99">
          <cell r="CH99">
            <v>0</v>
          </cell>
          <cell r="CI99">
            <v>39.872099399999996</v>
          </cell>
          <cell r="CJ99">
            <v>348.55532789700004</v>
          </cell>
          <cell r="CK99">
            <v>4.6812501740000005</v>
          </cell>
          <cell r="CL99">
            <v>0</v>
          </cell>
          <cell r="CM99">
            <v>1.42562056</v>
          </cell>
          <cell r="CN99">
            <v>580.40983274155008</v>
          </cell>
          <cell r="CO99">
            <v>590</v>
          </cell>
          <cell r="CP99">
            <v>0.98374547922296618</v>
          </cell>
          <cell r="CQ99">
            <v>74.088846752609371</v>
          </cell>
          <cell r="CR99">
            <v>73.660714285714292</v>
          </cell>
        </row>
        <row r="100">
          <cell r="CH100">
            <v>3.1299166629999999</v>
          </cell>
          <cell r="CI100">
            <v>40.076916959999998</v>
          </cell>
          <cell r="CJ100">
            <v>359.77210696400005</v>
          </cell>
          <cell r="CK100">
            <v>5.0934758179999999</v>
          </cell>
          <cell r="CL100">
            <v>0</v>
          </cell>
          <cell r="CM100">
            <v>1.4480595599999999</v>
          </cell>
          <cell r="CN100">
            <v>599.45782098605002</v>
          </cell>
          <cell r="CO100">
            <v>660</v>
          </cell>
          <cell r="CP100">
            <v>0.90826942573643943</v>
          </cell>
          <cell r="CQ100">
            <v>73.238490134551341</v>
          </cell>
          <cell r="CR100">
            <v>70.535714285714292</v>
          </cell>
        </row>
        <row r="101">
          <cell r="CH101">
            <v>0</v>
          </cell>
          <cell r="CI101">
            <v>47.886597119999998</v>
          </cell>
          <cell r="CJ101">
            <v>352.350855126</v>
          </cell>
          <cell r="CK101">
            <v>4.3760709119999994</v>
          </cell>
          <cell r="CL101">
            <v>0</v>
          </cell>
          <cell r="CM101">
            <v>2.4533551039999999</v>
          </cell>
          <cell r="CN101">
            <v>596.25774363066</v>
          </cell>
          <cell r="CO101">
            <v>670</v>
          </cell>
          <cell r="CP101">
            <v>0.88993693079202985</v>
          </cell>
          <cell r="CQ101">
            <v>73.381350730774102</v>
          </cell>
          <cell r="CR101">
            <v>70.089285714285708</v>
          </cell>
        </row>
        <row r="102">
          <cell r="CH102">
            <v>0</v>
          </cell>
          <cell r="CI102">
            <v>36.222289199999992</v>
          </cell>
          <cell r="CJ102">
            <v>326.28741413800003</v>
          </cell>
          <cell r="CK102">
            <v>4.7887468579999997</v>
          </cell>
          <cell r="CL102">
            <v>0</v>
          </cell>
          <cell r="CM102">
            <v>2.3408766640000001</v>
          </cell>
          <cell r="CN102">
            <v>544.94275246849998</v>
          </cell>
          <cell r="CO102">
            <v>1070</v>
          </cell>
          <cell r="CP102">
            <v>0.50929229202663551</v>
          </cell>
          <cell r="CQ102">
            <v>75.672198550513386</v>
          </cell>
          <cell r="CR102">
            <v>52.232142857142861</v>
          </cell>
        </row>
        <row r="103">
          <cell r="CH103">
            <v>3.416074777</v>
          </cell>
          <cell r="CI103">
            <v>38.483245199999999</v>
          </cell>
          <cell r="CJ103">
            <v>321.88045125299999</v>
          </cell>
          <cell r="CK103">
            <v>5.2172571940000001</v>
          </cell>
          <cell r="CL103">
            <v>0</v>
          </cell>
          <cell r="CM103">
            <v>2.5280131999999997</v>
          </cell>
          <cell r="CN103">
            <v>543.06473494905993</v>
          </cell>
          <cell r="CO103">
            <v>1020</v>
          </cell>
          <cell r="CP103">
            <v>0.53241640681280389</v>
          </cell>
          <cell r="CQ103">
            <v>75.756038618345528</v>
          </cell>
          <cell r="CR103">
            <v>54.464285714285708</v>
          </cell>
        </row>
        <row r="104">
          <cell r="CH104">
            <v>1.1825450480000002</v>
          </cell>
          <cell r="CI104">
            <v>49.077887039999993</v>
          </cell>
          <cell r="CJ104">
            <v>286.968484241</v>
          </cell>
          <cell r="CK104">
            <v>4.9144549360000003</v>
          </cell>
          <cell r="CL104">
            <v>0</v>
          </cell>
          <cell r="CM104">
            <v>2.375465792</v>
          </cell>
          <cell r="CN104">
            <v>500.03989930270996</v>
          </cell>
          <cell r="CO104">
            <v>550</v>
          </cell>
          <cell r="CP104">
            <v>0.90916345327765447</v>
          </cell>
          <cell r="CQ104">
            <v>77.676790209700457</v>
          </cell>
          <cell r="CR104">
            <v>75.446428571428569</v>
          </cell>
        </row>
        <row r="105">
          <cell r="CH105">
            <v>2.6410565519999998</v>
          </cell>
          <cell r="CI105">
            <v>53.145628079999994</v>
          </cell>
          <cell r="CJ105">
            <v>263.74628524100001</v>
          </cell>
          <cell r="CK105">
            <v>4.7742043179999998</v>
          </cell>
          <cell r="CL105">
            <v>0</v>
          </cell>
          <cell r="CM105">
            <v>0</v>
          </cell>
          <cell r="CN105">
            <v>464.73613441147006</v>
          </cell>
          <cell r="CO105">
            <v>640</v>
          </cell>
          <cell r="CP105">
            <v>0.72615021001792202</v>
          </cell>
          <cell r="CQ105">
            <v>79.252851142345079</v>
          </cell>
          <cell r="CR105">
            <v>71.428571428571431</v>
          </cell>
        </row>
        <row r="106">
          <cell r="CH106">
            <v>1.129625689</v>
          </cell>
          <cell r="CI106">
            <v>38.094756719999999</v>
          </cell>
          <cell r="CJ106">
            <v>275.77758682199999</v>
          </cell>
          <cell r="CK106">
            <v>5.3465381599999997</v>
          </cell>
          <cell r="CL106">
            <v>0</v>
          </cell>
          <cell r="CM106">
            <v>0</v>
          </cell>
          <cell r="CN106">
            <v>467.31161423396998</v>
          </cell>
          <cell r="CO106">
            <v>570</v>
          </cell>
          <cell r="CP106">
            <v>0.8198449372525789</v>
          </cell>
          <cell r="CQ106">
            <v>79.137874364554918</v>
          </cell>
          <cell r="CR106">
            <v>74.553571428571431</v>
          </cell>
        </row>
        <row r="107">
          <cell r="CH107">
            <v>1.1092856269999998</v>
          </cell>
          <cell r="CI107">
            <v>40.173382079999996</v>
          </cell>
          <cell r="CJ107">
            <v>274.094173883</v>
          </cell>
          <cell r="CK107">
            <v>4.898790331999999</v>
          </cell>
          <cell r="CL107">
            <v>0</v>
          </cell>
          <cell r="CM107">
            <v>2.95879476</v>
          </cell>
          <cell r="CN107">
            <v>472.20771107301999</v>
          </cell>
          <cell r="CO107">
            <v>1200</v>
          </cell>
          <cell r="CP107">
            <v>0.39350642589418333</v>
          </cell>
          <cell r="CQ107">
            <v>78.919298612811602</v>
          </cell>
          <cell r="CR107">
            <v>46.428571428571431</v>
          </cell>
        </row>
        <row r="108">
          <cell r="CH108">
            <v>1.137582525</v>
          </cell>
          <cell r="CI108">
            <v>43.93667808</v>
          </cell>
          <cell r="CJ108">
            <v>283.86327137699999</v>
          </cell>
          <cell r="CK108">
            <v>4.6565869119999999</v>
          </cell>
          <cell r="CL108">
            <v>0</v>
          </cell>
          <cell r="CM108">
            <v>2.6445542799999999</v>
          </cell>
          <cell r="CN108">
            <v>489.91381811965999</v>
          </cell>
          <cell r="CO108">
            <v>400</v>
          </cell>
          <cell r="CP108">
            <v>1.2247845452991499</v>
          </cell>
          <cell r="CQ108">
            <v>78.128847405372326</v>
          </cell>
          <cell r="CR108">
            <v>82.142857142857139</v>
          </cell>
        </row>
        <row r="109">
          <cell r="CH109">
            <v>2.297238042</v>
          </cell>
          <cell r="CI109">
            <v>41.596934640000001</v>
          </cell>
          <cell r="CJ109">
            <v>240.22744344</v>
          </cell>
          <cell r="CK109">
            <v>4.1940824659999993</v>
          </cell>
          <cell r="CL109">
            <v>0</v>
          </cell>
          <cell r="CM109">
            <v>1.1112714279999998</v>
          </cell>
          <cell r="CN109">
            <v>417.95641677513999</v>
          </cell>
          <cell r="CO109">
            <v>510</v>
          </cell>
          <cell r="CP109">
            <v>0.81952238583360781</v>
          </cell>
          <cell r="CQ109">
            <v>81.341231393966964</v>
          </cell>
          <cell r="CR109">
            <v>77.232142857142861</v>
          </cell>
        </row>
        <row r="110">
          <cell r="CH110">
            <v>3.6379702409999997</v>
          </cell>
          <cell r="CI110">
            <v>61.138383479999995</v>
          </cell>
          <cell r="CJ110">
            <v>288.07997855999997</v>
          </cell>
          <cell r="CK110">
            <v>4.8350393799999996</v>
          </cell>
          <cell r="CL110">
            <v>0</v>
          </cell>
          <cell r="CM110">
            <v>6.7444477440000004</v>
          </cell>
          <cell r="CN110">
            <v>524.25057260290998</v>
          </cell>
          <cell r="CO110">
            <v>620</v>
          </cell>
          <cell r="CP110">
            <v>0.84556543968211284</v>
          </cell>
          <cell r="CQ110">
            <v>76.595956580227238</v>
          </cell>
          <cell r="CR110">
            <v>72.321428571428569</v>
          </cell>
        </row>
        <row r="111">
          <cell r="CH111">
            <v>2.1754803190000001</v>
          </cell>
          <cell r="CI111">
            <v>54.875955839999996</v>
          </cell>
          <cell r="CJ111">
            <v>277.42603394700001</v>
          </cell>
          <cell r="CK111">
            <v>4.6999783080000004</v>
          </cell>
          <cell r="CL111">
            <v>0</v>
          </cell>
          <cell r="CM111">
            <v>2.772168416</v>
          </cell>
          <cell r="CN111">
            <v>492.60118620961998</v>
          </cell>
          <cell r="CO111">
            <v>900</v>
          </cell>
          <cell r="CP111">
            <v>0.54733465134402215</v>
          </cell>
          <cell r="CQ111">
            <v>78.008875615641969</v>
          </cell>
          <cell r="CR111">
            <v>59.821428571428569</v>
          </cell>
        </row>
        <row r="112">
          <cell r="CH112">
            <v>0.66159627600000004</v>
          </cell>
          <cell r="CI112">
            <v>50.435546879999997</v>
          </cell>
          <cell r="CJ112">
            <v>279.75933945399998</v>
          </cell>
          <cell r="CK112">
            <v>4.4546523019999995</v>
          </cell>
          <cell r="CL112">
            <v>0</v>
          </cell>
          <cell r="CM112">
            <v>0</v>
          </cell>
          <cell r="CN112">
            <v>484.74166362337996</v>
          </cell>
          <cell r="CO112">
            <v>640</v>
          </cell>
          <cell r="CP112">
            <v>0.75740884941153119</v>
          </cell>
          <cell r="CQ112">
            <v>78.359747159670533</v>
          </cell>
          <cell r="CR112">
            <v>71.428571428571431</v>
          </cell>
        </row>
        <row r="113">
          <cell r="CH113">
            <v>2.4221315689999998</v>
          </cell>
          <cell r="CI113">
            <v>42.998771159999997</v>
          </cell>
          <cell r="CJ113">
            <v>295.59723559299999</v>
          </cell>
          <cell r="CK113">
            <v>4.408160466</v>
          </cell>
          <cell r="CL113">
            <v>0</v>
          </cell>
          <cell r="CM113">
            <v>3.9671609040000004</v>
          </cell>
          <cell r="CN113">
            <v>509.32411722806</v>
          </cell>
          <cell r="CO113">
            <v>630</v>
          </cell>
          <cell r="CP113">
            <v>0.80845097972707936</v>
          </cell>
          <cell r="CQ113">
            <v>77.262316195175899</v>
          </cell>
          <cell r="CR113">
            <v>71.875</v>
          </cell>
        </row>
        <row r="114">
          <cell r="CH114">
            <v>1.6341488209999997</v>
          </cell>
          <cell r="CI114">
            <v>34.930189199999994</v>
          </cell>
          <cell r="CJ114">
            <v>297.807776913</v>
          </cell>
          <cell r="CK114">
            <v>4.7770685339999996</v>
          </cell>
          <cell r="CL114">
            <v>0</v>
          </cell>
          <cell r="CM114">
            <v>4.7426432960000007</v>
          </cell>
          <cell r="CN114">
            <v>506.00625472569999</v>
          </cell>
          <cell r="CO114">
            <v>570</v>
          </cell>
          <cell r="CP114">
            <v>0.88773027144859651</v>
          </cell>
          <cell r="CQ114">
            <v>77.410435056888389</v>
          </cell>
          <cell r="CR114">
            <v>74.553571428571431</v>
          </cell>
        </row>
      </sheetData>
      <sheetData sheetId="12"/>
      <sheetData sheetId="13">
        <row r="5">
          <cell r="BF5">
            <v>0</v>
          </cell>
          <cell r="BU5">
            <v>0</v>
          </cell>
          <cell r="BV5">
            <v>27.213881531945606</v>
          </cell>
          <cell r="BW5">
            <v>53.30118977167875</v>
          </cell>
          <cell r="BX5">
            <v>19.484928696375647</v>
          </cell>
        </row>
        <row r="6">
          <cell r="BU6">
            <v>0</v>
          </cell>
          <cell r="BV6">
            <v>23.040468133324264</v>
          </cell>
          <cell r="BW6">
            <v>54.589766852816538</v>
          </cell>
          <cell r="BX6">
            <v>22.369765013859215</v>
          </cell>
        </row>
        <row r="7">
          <cell r="BU7">
            <v>0</v>
          </cell>
          <cell r="BV7">
            <v>19.794680067427002</v>
          </cell>
          <cell r="BW7">
            <v>55.816542773998343</v>
          </cell>
          <cell r="BX7">
            <v>24.388777158574648</v>
          </cell>
        </row>
        <row r="8">
          <cell r="BU8">
            <v>0</v>
          </cell>
          <cell r="BV8">
            <v>16.842282994262781</v>
          </cell>
          <cell r="BW8">
            <v>57.79111301232642</v>
          </cell>
          <cell r="BX8">
            <v>25.366603993410791</v>
          </cell>
        </row>
        <row r="9">
          <cell r="BU9">
            <v>0</v>
          </cell>
          <cell r="BV9">
            <v>18.336825376298645</v>
          </cell>
          <cell r="BW9">
            <v>57.388033369713106</v>
          </cell>
          <cell r="BX9">
            <v>24.275141253988245</v>
          </cell>
        </row>
        <row r="10">
          <cell r="BU10">
            <v>0</v>
          </cell>
          <cell r="BV10">
            <v>16.366781965143602</v>
          </cell>
          <cell r="BW10">
            <v>57.740063068581549</v>
          </cell>
          <cell r="BX10">
            <v>25.893154966274846</v>
          </cell>
        </row>
        <row r="11">
          <cell r="BU11">
            <v>0</v>
          </cell>
          <cell r="BV11">
            <v>17.592344635825782</v>
          </cell>
          <cell r="BW11">
            <v>58.235894574022915</v>
          </cell>
          <cell r="BX11">
            <v>24.171760790151311</v>
          </cell>
        </row>
        <row r="12">
          <cell r="BU12">
            <v>0</v>
          </cell>
          <cell r="BV12">
            <v>18.741157901751603</v>
          </cell>
          <cell r="BW12">
            <v>57.482600941970354</v>
          </cell>
          <cell r="BX12">
            <v>23.776241156278051</v>
          </cell>
        </row>
        <row r="13">
          <cell r="BU13">
            <v>0</v>
          </cell>
          <cell r="BV13">
            <v>28.323642101623157</v>
          </cell>
          <cell r="BW13">
            <v>52.497831744472364</v>
          </cell>
          <cell r="BX13">
            <v>19.178526153904453</v>
          </cell>
        </row>
        <row r="14">
          <cell r="BU14">
            <v>0</v>
          </cell>
          <cell r="BV14">
            <v>20.986690020627783</v>
          </cell>
          <cell r="BW14">
            <v>54.492748623461004</v>
          </cell>
          <cell r="BX14">
            <v>24.520561355911205</v>
          </cell>
        </row>
        <row r="15">
          <cell r="BU15">
            <v>0</v>
          </cell>
          <cell r="BV15">
            <v>17.731094871326867</v>
          </cell>
          <cell r="BW15">
            <v>56.98676963203846</v>
          </cell>
          <cell r="BX15">
            <v>25.282135496634677</v>
          </cell>
        </row>
        <row r="16">
          <cell r="BU16">
            <v>0</v>
          </cell>
          <cell r="BV16">
            <v>17.779846277433773</v>
          </cell>
          <cell r="BW16">
            <v>57.218200505720397</v>
          </cell>
          <cell r="BX16">
            <v>25.001953216845841</v>
          </cell>
        </row>
        <row r="17">
          <cell r="BU17">
            <v>0</v>
          </cell>
          <cell r="BV17">
            <v>17.767912470996659</v>
          </cell>
          <cell r="BW17">
            <v>58.448785545937064</v>
          </cell>
          <cell r="BX17">
            <v>23.783301983066281</v>
          </cell>
        </row>
        <row r="18">
          <cell r="BU18">
            <v>0</v>
          </cell>
          <cell r="BV18">
            <v>15.83034179389546</v>
          </cell>
          <cell r="BW18">
            <v>59.861872188036379</v>
          </cell>
          <cell r="BX18">
            <v>24.307786018068146</v>
          </cell>
        </row>
        <row r="19">
          <cell r="BU19">
            <v>0</v>
          </cell>
          <cell r="BV19">
            <v>13.602439795776089</v>
          </cell>
          <cell r="BW19">
            <v>59.282470146183627</v>
          </cell>
          <cell r="BX19">
            <v>27.115090058040277</v>
          </cell>
        </row>
        <row r="20">
          <cell r="BU20">
            <v>0</v>
          </cell>
          <cell r="BV20">
            <v>15.038784114373934</v>
          </cell>
          <cell r="BW20">
            <v>57.381475230923975</v>
          </cell>
          <cell r="BX20">
            <v>27.579740654702086</v>
          </cell>
        </row>
        <row r="21">
          <cell r="BU21">
            <v>0</v>
          </cell>
          <cell r="BV21">
            <v>20.298863732188913</v>
          </cell>
          <cell r="BW21">
            <v>56.17602989304612</v>
          </cell>
          <cell r="BX21">
            <v>23.525106374764974</v>
          </cell>
        </row>
        <row r="22">
          <cell r="BU22">
            <v>0</v>
          </cell>
          <cell r="BV22">
            <v>15.858665473563416</v>
          </cell>
          <cell r="BW22">
            <v>56.6901005273618</v>
          </cell>
          <cell r="BX22">
            <v>27.451233999074777</v>
          </cell>
        </row>
        <row r="23">
          <cell r="BU23">
            <v>0</v>
          </cell>
          <cell r="BV23">
            <v>14.265638076090406</v>
          </cell>
          <cell r="BW23">
            <v>58.573675692967178</v>
          </cell>
          <cell r="BX23">
            <v>27.160686230942428</v>
          </cell>
        </row>
        <row r="24">
          <cell r="BU24"/>
          <cell r="BV24"/>
          <cell r="BW24"/>
          <cell r="BX24"/>
        </row>
        <row r="25">
          <cell r="BU25"/>
          <cell r="BV25"/>
          <cell r="BW25"/>
          <cell r="BX25"/>
        </row>
        <row r="26">
          <cell r="BU26"/>
          <cell r="BV26"/>
          <cell r="BW26"/>
          <cell r="BX26"/>
        </row>
        <row r="27">
          <cell r="BU27">
            <v>0</v>
          </cell>
          <cell r="BV27">
            <v>31.000461146649155</v>
          </cell>
          <cell r="BW27">
            <v>52.783837331035976</v>
          </cell>
          <cell r="BX27">
            <v>16.215701522314877</v>
          </cell>
        </row>
        <row r="28">
          <cell r="BU28">
            <v>0</v>
          </cell>
          <cell r="BV28">
            <v>34.191200208391052</v>
          </cell>
          <cell r="BW28">
            <v>44.308071764550796</v>
          </cell>
          <cell r="BX28">
            <v>21.500728027058138</v>
          </cell>
        </row>
        <row r="29">
          <cell r="BU29">
            <v>0</v>
          </cell>
          <cell r="BV29">
            <v>19.147521957879952</v>
          </cell>
          <cell r="BW29">
            <v>55.168733830384632</v>
          </cell>
          <cell r="BX29">
            <v>25.683744211735419</v>
          </cell>
        </row>
        <row r="30">
          <cell r="BU30">
            <v>0</v>
          </cell>
          <cell r="BV30">
            <v>17.219589212161228</v>
          </cell>
          <cell r="BW30">
            <v>56.581747578313255</v>
          </cell>
          <cell r="BX30">
            <v>26.19866320952552</v>
          </cell>
        </row>
        <row r="31">
          <cell r="BU31"/>
          <cell r="BV31"/>
          <cell r="BW31"/>
          <cell r="BX31"/>
        </row>
        <row r="32">
          <cell r="BU32">
            <v>0</v>
          </cell>
          <cell r="BV32">
            <v>14.498440793204443</v>
          </cell>
          <cell r="BW32">
            <v>58.378996471661807</v>
          </cell>
          <cell r="BX32">
            <v>27.122562735133759</v>
          </cell>
        </row>
        <row r="33">
          <cell r="BU33">
            <v>0</v>
          </cell>
          <cell r="BV33">
            <v>17.574792248991596</v>
          </cell>
          <cell r="BW33">
            <v>57.925353936716441</v>
          </cell>
          <cell r="BX33">
            <v>24.499853814291964</v>
          </cell>
        </row>
        <row r="34">
          <cell r="BU34">
            <v>0</v>
          </cell>
          <cell r="BV34">
            <v>14.733350276514717</v>
          </cell>
          <cell r="BW34">
            <v>57.492233444486175</v>
          </cell>
          <cell r="BX34">
            <v>27.774416278999098</v>
          </cell>
        </row>
        <row r="35">
          <cell r="BU35">
            <v>0</v>
          </cell>
          <cell r="BV35">
            <v>13.706027841527133</v>
          </cell>
          <cell r="BW35">
            <v>57.931665125916339</v>
          </cell>
          <cell r="BX35">
            <v>28.362307032556522</v>
          </cell>
        </row>
        <row r="36">
          <cell r="BU36">
            <v>0</v>
          </cell>
          <cell r="BV36">
            <v>16.666526542444121</v>
          </cell>
          <cell r="BW36">
            <v>56.236577699929121</v>
          </cell>
          <cell r="BX36">
            <v>27.096895757626754</v>
          </cell>
        </row>
        <row r="37">
          <cell r="BU37">
            <v>0</v>
          </cell>
          <cell r="BV37">
            <v>17.170185910976457</v>
          </cell>
          <cell r="BW37">
            <v>57.349029993502008</v>
          </cell>
          <cell r="BX37">
            <v>25.480784095521525</v>
          </cell>
        </row>
        <row r="38">
          <cell r="BU38">
            <v>0</v>
          </cell>
          <cell r="BV38">
            <v>14.21178563270372</v>
          </cell>
          <cell r="BW38">
            <v>57.170921386245752</v>
          </cell>
          <cell r="BX38">
            <v>28.617292981050525</v>
          </cell>
        </row>
        <row r="39">
          <cell r="BU39">
            <v>0</v>
          </cell>
          <cell r="BV39">
            <v>32.056664291189875</v>
          </cell>
          <cell r="BW39">
            <v>50.545938948322423</v>
          </cell>
          <cell r="BX39">
            <v>17.397396760487705</v>
          </cell>
        </row>
        <row r="40">
          <cell r="BU40"/>
          <cell r="BV40"/>
          <cell r="BW40"/>
          <cell r="BX40"/>
        </row>
        <row r="41">
          <cell r="BU41"/>
          <cell r="BV41"/>
          <cell r="BW41"/>
          <cell r="BX41"/>
        </row>
        <row r="42">
          <cell r="BU42">
            <v>0</v>
          </cell>
          <cell r="BV42">
            <v>18.313374908246267</v>
          </cell>
          <cell r="BW42">
            <v>55.173732024875989</v>
          </cell>
          <cell r="BX42">
            <v>26.512893066877748</v>
          </cell>
        </row>
        <row r="43">
          <cell r="BU43">
            <v>0</v>
          </cell>
          <cell r="BV43">
            <v>15.487575916317779</v>
          </cell>
          <cell r="BW43">
            <v>56.987840852604542</v>
          </cell>
          <cell r="BX43">
            <v>27.524583231077678</v>
          </cell>
        </row>
        <row r="44">
          <cell r="BU44">
            <v>0</v>
          </cell>
          <cell r="BV44">
            <v>15.727624090907769</v>
          </cell>
          <cell r="BW44">
            <v>57.500113192161237</v>
          </cell>
          <cell r="BX44">
            <v>26.772262716930989</v>
          </cell>
        </row>
        <row r="45">
          <cell r="BU45">
            <v>0</v>
          </cell>
          <cell r="BV45">
            <v>14.225894006777699</v>
          </cell>
          <cell r="BW45">
            <v>57.871654137970715</v>
          </cell>
          <cell r="BX45">
            <v>27.902451855251591</v>
          </cell>
        </row>
        <row r="46">
          <cell r="BU46">
            <v>0</v>
          </cell>
          <cell r="BV46">
            <v>13.898811174559031</v>
          </cell>
          <cell r="BW46">
            <v>58.327057732160405</v>
          </cell>
          <cell r="BX46">
            <v>27.774131093280563</v>
          </cell>
        </row>
        <row r="47">
          <cell r="BU47">
            <v>0</v>
          </cell>
          <cell r="BV47">
            <v>13.86705400627414</v>
          </cell>
          <cell r="BW47">
            <v>59.278273427871028</v>
          </cell>
          <cell r="BX47">
            <v>26.854672565854841</v>
          </cell>
        </row>
        <row r="48">
          <cell r="BU48">
            <v>0</v>
          </cell>
          <cell r="BV48">
            <v>16.239981349637922</v>
          </cell>
          <cell r="BW48">
            <v>58.4862258904976</v>
          </cell>
          <cell r="BX48">
            <v>25.273792759864477</v>
          </cell>
        </row>
        <row r="49">
          <cell r="BU49">
            <v>0</v>
          </cell>
          <cell r="BV49">
            <v>15.951455546076437</v>
          </cell>
          <cell r="BW49">
            <v>58.870192783575014</v>
          </cell>
          <cell r="BX49">
            <v>25.178351670348558</v>
          </cell>
        </row>
        <row r="50">
          <cell r="BU50">
            <v>0</v>
          </cell>
          <cell r="BV50">
            <v>17.620120749180671</v>
          </cell>
          <cell r="BW50">
            <v>58.513207045273276</v>
          </cell>
          <cell r="BX50">
            <v>23.866672205546045</v>
          </cell>
        </row>
        <row r="51">
          <cell r="BU51"/>
          <cell r="BV51"/>
          <cell r="BW51"/>
          <cell r="BX51"/>
        </row>
        <row r="52">
          <cell r="BU52">
            <v>0</v>
          </cell>
          <cell r="BV52">
            <v>22.980796525773485</v>
          </cell>
          <cell r="BW52">
            <v>56.368680009497076</v>
          </cell>
          <cell r="BX52">
            <v>20.650523464729442</v>
          </cell>
        </row>
        <row r="53">
          <cell r="BU53">
            <v>0</v>
          </cell>
          <cell r="BV53">
            <v>15.223981234950006</v>
          </cell>
          <cell r="BW53">
            <v>59.440540062538879</v>
          </cell>
          <cell r="BX53">
            <v>25.335478702511121</v>
          </cell>
        </row>
        <row r="54">
          <cell r="BU54">
            <v>5.4704086605779689E-2</v>
          </cell>
          <cell r="BV54">
            <v>14.517086899503454</v>
          </cell>
          <cell r="BW54">
            <v>58.854988461465531</v>
          </cell>
          <cell r="BX54">
            <v>26.573220552425248</v>
          </cell>
        </row>
        <row r="55">
          <cell r="BU55">
            <v>0</v>
          </cell>
          <cell r="BV55">
            <v>18.69688504756672</v>
          </cell>
          <cell r="BW55">
            <v>57.345367793499868</v>
          </cell>
          <cell r="BX55">
            <v>23.957747158933415</v>
          </cell>
        </row>
        <row r="56">
          <cell r="BU56"/>
          <cell r="BV56"/>
          <cell r="BW56"/>
          <cell r="BX56"/>
        </row>
        <row r="57">
          <cell r="BU57">
            <v>0</v>
          </cell>
          <cell r="BV57">
            <v>19.788075089816733</v>
          </cell>
          <cell r="BW57">
            <v>59.629733881879076</v>
          </cell>
          <cell r="BX57">
            <v>20.582191028304184</v>
          </cell>
        </row>
        <row r="58">
          <cell r="BU58">
            <v>0</v>
          </cell>
          <cell r="BV58">
            <v>18.3432942678225</v>
          </cell>
          <cell r="BW58">
            <v>59.373971047163423</v>
          </cell>
          <cell r="BX58">
            <v>22.282734685014074</v>
          </cell>
        </row>
        <row r="59">
          <cell r="BU59">
            <v>0</v>
          </cell>
          <cell r="BV59">
            <v>18.203478443304959</v>
          </cell>
          <cell r="BW59">
            <v>58.207215505661459</v>
          </cell>
          <cell r="BX59">
            <v>23.589306051033581</v>
          </cell>
        </row>
        <row r="60">
          <cell r="BU60">
            <v>6.866472688514233E-2</v>
          </cell>
          <cell r="BV60">
            <v>25.047841369140329</v>
          </cell>
          <cell r="BW60">
            <v>52.444318609439101</v>
          </cell>
          <cell r="BX60">
            <v>22.439175294535428</v>
          </cell>
        </row>
        <row r="61">
          <cell r="BU61">
            <v>0</v>
          </cell>
          <cell r="BV61">
            <v>29.343798196786704</v>
          </cell>
          <cell r="BW61">
            <v>52.818285004866041</v>
          </cell>
          <cell r="BX61">
            <v>17.837916798347251</v>
          </cell>
        </row>
        <row r="62">
          <cell r="BU62">
            <v>0</v>
          </cell>
          <cell r="BV62">
            <v>28.443664366547129</v>
          </cell>
          <cell r="BW62">
            <v>58.725843859347457</v>
          </cell>
          <cell r="BX62">
            <v>12.830491774105415</v>
          </cell>
        </row>
        <row r="63">
          <cell r="BU63">
            <v>0</v>
          </cell>
          <cell r="BV63">
            <v>21.950717101823656</v>
          </cell>
          <cell r="BW63">
            <v>61.003129179031177</v>
          </cell>
          <cell r="BX63">
            <v>17.046153719145178</v>
          </cell>
        </row>
        <row r="64">
          <cell r="BU64">
            <v>0</v>
          </cell>
          <cell r="BV64">
            <v>18.408439530261219</v>
          </cell>
          <cell r="BW64">
            <v>58.485325103921518</v>
          </cell>
          <cell r="BX64">
            <v>23.106235365817255</v>
          </cell>
        </row>
        <row r="65">
          <cell r="BU65">
            <v>0</v>
          </cell>
          <cell r="BV65">
            <v>16.104203955975873</v>
          </cell>
          <cell r="BW65">
            <v>57.839138712049952</v>
          </cell>
          <cell r="BX65">
            <v>26.056657331974154</v>
          </cell>
        </row>
        <row r="66">
          <cell r="BU66">
            <v>0</v>
          </cell>
          <cell r="BV66">
            <v>16.581107583441728</v>
          </cell>
          <cell r="BW66">
            <v>58.364149227664633</v>
          </cell>
          <cell r="BX66">
            <v>25.054743188893642</v>
          </cell>
        </row>
        <row r="67">
          <cell r="BU67">
            <v>0</v>
          </cell>
          <cell r="BV67">
            <v>27.198955670948692</v>
          </cell>
          <cell r="BW67">
            <v>50.529917505632817</v>
          </cell>
          <cell r="BX67">
            <v>22.271126823418502</v>
          </cell>
        </row>
        <row r="68">
          <cell r="BU68">
            <v>0</v>
          </cell>
          <cell r="BV68">
            <v>17.242037247855798</v>
          </cell>
          <cell r="BW68">
            <v>57.061147563523541</v>
          </cell>
          <cell r="BX68">
            <v>25.696815188620675</v>
          </cell>
        </row>
        <row r="69">
          <cell r="BU69">
            <v>0</v>
          </cell>
          <cell r="BV69"/>
          <cell r="BW69"/>
          <cell r="BX69"/>
        </row>
        <row r="70">
          <cell r="BU70">
            <v>0</v>
          </cell>
          <cell r="BV70">
            <v>17.150120436506771</v>
          </cell>
          <cell r="BW70">
            <v>56.740718702020352</v>
          </cell>
          <cell r="BX70">
            <v>26.109160861472873</v>
          </cell>
        </row>
        <row r="71">
          <cell r="BU71">
            <v>0</v>
          </cell>
          <cell r="BV71">
            <v>15.732436111418622</v>
          </cell>
          <cell r="BW71">
            <v>56.790154097676037</v>
          </cell>
          <cell r="BX71">
            <v>27.477409790905327</v>
          </cell>
        </row>
        <row r="72">
          <cell r="BU72">
            <v>0</v>
          </cell>
          <cell r="BV72"/>
          <cell r="BW72"/>
          <cell r="BX72"/>
        </row>
        <row r="73">
          <cell r="BU73">
            <v>0</v>
          </cell>
          <cell r="BV73"/>
          <cell r="BW73"/>
          <cell r="BX73"/>
        </row>
        <row r="74">
          <cell r="BU74">
            <v>0</v>
          </cell>
          <cell r="BV74">
            <v>21.836216865577253</v>
          </cell>
          <cell r="BW74">
            <v>59.759770518153545</v>
          </cell>
          <cell r="BX74">
            <v>18.404012616269217</v>
          </cell>
        </row>
        <row r="75">
          <cell r="BU75">
            <v>0</v>
          </cell>
          <cell r="BV75">
            <v>16.438214070693981</v>
          </cell>
          <cell r="BW75">
            <v>58.326348028113671</v>
          </cell>
          <cell r="BX75">
            <v>25.235437901192338</v>
          </cell>
        </row>
        <row r="76">
          <cell r="BU76">
            <v>0</v>
          </cell>
          <cell r="BV76">
            <v>16.467578990232806</v>
          </cell>
          <cell r="BW76">
            <v>57.517312723734058</v>
          </cell>
          <cell r="BX76">
            <v>26.015108286033133</v>
          </cell>
        </row>
        <row r="77">
          <cell r="BU77">
            <v>0</v>
          </cell>
          <cell r="BV77">
            <v>31.995103492491197</v>
          </cell>
          <cell r="BW77">
            <v>48.25487776205717</v>
          </cell>
          <cell r="BX77">
            <v>19.750018745451627</v>
          </cell>
        </row>
        <row r="78">
          <cell r="BU78">
            <v>0</v>
          </cell>
          <cell r="BV78">
            <v>16.122570019466337</v>
          </cell>
          <cell r="BW78">
            <v>58.048062554565242</v>
          </cell>
          <cell r="BX78">
            <v>25.829367425968421</v>
          </cell>
        </row>
        <row r="79">
          <cell r="BU79">
            <v>0</v>
          </cell>
          <cell r="BV79">
            <v>16.561013128391316</v>
          </cell>
          <cell r="BW79">
            <v>58.115595721887892</v>
          </cell>
          <cell r="BX79">
            <v>25.323391149720798</v>
          </cell>
        </row>
        <row r="80">
          <cell r="BU80">
            <v>0</v>
          </cell>
          <cell r="BV80">
            <v>23.471527484853212</v>
          </cell>
          <cell r="BW80">
            <v>58.402375737716362</v>
          </cell>
          <cell r="BX80">
            <v>18.12609677743043</v>
          </cell>
        </row>
        <row r="81">
          <cell r="BU81">
            <v>0</v>
          </cell>
          <cell r="BV81">
            <v>24.338822186918925</v>
          </cell>
          <cell r="BW81">
            <v>58.236781259411842</v>
          </cell>
          <cell r="BX81">
            <v>17.424396553669226</v>
          </cell>
        </row>
        <row r="82">
          <cell r="BU82">
            <v>0</v>
          </cell>
          <cell r="BV82">
            <v>25.891033586304772</v>
          </cell>
          <cell r="BW82">
            <v>54.892190004802224</v>
          </cell>
          <cell r="BX82">
            <v>19.216776408893015</v>
          </cell>
        </row>
        <row r="83">
          <cell r="BU83">
            <v>0</v>
          </cell>
          <cell r="BV83">
            <v>15.335065084196806</v>
          </cell>
          <cell r="BW83">
            <v>57.216131173191101</v>
          </cell>
          <cell r="BX83">
            <v>27.448803742612093</v>
          </cell>
        </row>
        <row r="84">
          <cell r="BU84">
            <v>0</v>
          </cell>
          <cell r="BV84">
            <v>30.974036687158296</v>
          </cell>
          <cell r="BW84">
            <v>52.860553713842151</v>
          </cell>
          <cell r="BX84">
            <v>16.16540959899956</v>
          </cell>
        </row>
        <row r="85">
          <cell r="BU85">
            <v>0</v>
          </cell>
          <cell r="BV85">
            <v>17.755696844936057</v>
          </cell>
          <cell r="BW85">
            <v>56.899110907985374</v>
          </cell>
          <cell r="BX85">
            <v>25.345192247078579</v>
          </cell>
        </row>
        <row r="86">
          <cell r="BU86">
            <v>0</v>
          </cell>
          <cell r="BV86">
            <v>16.922798298603681</v>
          </cell>
          <cell r="BW86">
            <v>57.387399556228615</v>
          </cell>
          <cell r="BX86">
            <v>25.689802145167697</v>
          </cell>
        </row>
        <row r="87">
          <cell r="BU87">
            <v>0</v>
          </cell>
          <cell r="BV87">
            <v>17.010917700185324</v>
          </cell>
          <cell r="BW87">
            <v>57.338137298366945</v>
          </cell>
          <cell r="BX87">
            <v>25.650945001447738</v>
          </cell>
        </row>
        <row r="88">
          <cell r="BU88">
            <v>0</v>
          </cell>
          <cell r="BV88">
            <v>14.011696642913108</v>
          </cell>
          <cell r="BW88">
            <v>57.802471341594206</v>
          </cell>
          <cell r="BX88">
            <v>28.1858320154927</v>
          </cell>
        </row>
        <row r="89">
          <cell r="BU89">
            <v>0</v>
          </cell>
          <cell r="BV89">
            <v>16.046453353139235</v>
          </cell>
          <cell r="BW89">
            <v>57.312054290717199</v>
          </cell>
          <cell r="BX89">
            <v>26.641492356143559</v>
          </cell>
        </row>
        <row r="90">
          <cell r="BU90">
            <v>0</v>
          </cell>
          <cell r="BV90">
            <v>17.579820171198229</v>
          </cell>
          <cell r="BW90">
            <v>56.027609220251961</v>
          </cell>
          <cell r="BX90">
            <v>26.392570608549796</v>
          </cell>
        </row>
        <row r="91">
          <cell r="BU91">
            <v>0</v>
          </cell>
          <cell r="BV91">
            <v>20.578708661043215</v>
          </cell>
          <cell r="BW91">
            <v>56.801971405092132</v>
          </cell>
          <cell r="BX91">
            <v>22.619319933864645</v>
          </cell>
        </row>
        <row r="92">
          <cell r="BU92">
            <v>0</v>
          </cell>
          <cell r="BV92">
            <v>24.497295341656443</v>
          </cell>
          <cell r="BW92">
            <v>54.240050827152629</v>
          </cell>
          <cell r="BX92">
            <v>21.262653831190935</v>
          </cell>
        </row>
        <row r="93">
          <cell r="BU93">
            <v>0</v>
          </cell>
          <cell r="BV93">
            <v>20.527805390650457</v>
          </cell>
          <cell r="BW93">
            <v>55.270783648118169</v>
          </cell>
          <cell r="BX93">
            <v>24.201410961231382</v>
          </cell>
        </row>
        <row r="94">
          <cell r="BU94">
            <v>0</v>
          </cell>
          <cell r="BV94">
            <v>19.673654041062008</v>
          </cell>
          <cell r="BW94">
            <v>56.585334781757538</v>
          </cell>
          <cell r="BX94">
            <v>23.741011177180468</v>
          </cell>
        </row>
        <row r="95">
          <cell r="BU95">
            <v>0</v>
          </cell>
          <cell r="BV95">
            <v>23.190160156880079</v>
          </cell>
          <cell r="BW95">
            <v>53.770665611993962</v>
          </cell>
          <cell r="BX95">
            <v>23.039174231125966</v>
          </cell>
        </row>
        <row r="96">
          <cell r="BU96">
            <v>0</v>
          </cell>
          <cell r="BV96">
            <v>22.34582372622841</v>
          </cell>
          <cell r="BW96">
            <v>53.951380486888326</v>
          </cell>
          <cell r="BX96">
            <v>23.702795786883268</v>
          </cell>
        </row>
        <row r="97">
          <cell r="BU97">
            <v>0.56289245365012996</v>
          </cell>
          <cell r="BV97">
            <v>22.939908773804461</v>
          </cell>
          <cell r="BW97">
            <v>53.38900034144126</v>
          </cell>
          <cell r="BX97">
            <v>23.108198431104153</v>
          </cell>
        </row>
        <row r="98">
          <cell r="BU98">
            <v>0</v>
          </cell>
          <cell r="BV98">
            <v>21.441622780500659</v>
          </cell>
          <cell r="BW98">
            <v>54.763734227509119</v>
          </cell>
          <cell r="BX98">
            <v>23.794642991990226</v>
          </cell>
        </row>
        <row r="99">
          <cell r="BU99">
            <v>0</v>
          </cell>
          <cell r="BV99">
            <v>21.767122785258376</v>
          </cell>
          <cell r="BW99">
            <v>53.903825152108709</v>
          </cell>
          <cell r="BX99">
            <v>24.329052062632908</v>
          </cell>
        </row>
        <row r="100">
          <cell r="BU100">
            <v>0</v>
          </cell>
          <cell r="BV100">
            <v>21.046299372378602</v>
          </cell>
          <cell r="BW100">
            <v>54.39224217917581</v>
          </cell>
          <cell r="BX100">
            <v>24.561458448445581</v>
          </cell>
        </row>
        <row r="101">
          <cell r="BU101">
            <v>0</v>
          </cell>
          <cell r="BV101">
            <v>24.701671028959868</v>
          </cell>
          <cell r="BW101">
            <v>54.508671124329254</v>
          </cell>
          <cell r="BX101">
            <v>20.789657846710888</v>
          </cell>
        </row>
        <row r="102">
          <cell r="BU102">
            <v>0</v>
          </cell>
          <cell r="BV102">
            <v>22.78415378565284</v>
          </cell>
          <cell r="BW102">
            <v>54.269486908879792</v>
          </cell>
          <cell r="BX102">
            <v>22.946359305467361</v>
          </cell>
        </row>
        <row r="103">
          <cell r="BU103">
            <v>0</v>
          </cell>
          <cell r="BV103">
            <v>22.328321521733852</v>
          </cell>
          <cell r="BW103">
            <v>54.074479609025616</v>
          </cell>
          <cell r="BX103">
            <v>23.597198869240518</v>
          </cell>
        </row>
        <row r="104">
          <cell r="BU104">
            <v>0</v>
          </cell>
          <cell r="BV104">
            <v>29.029329888084405</v>
          </cell>
          <cell r="BW104">
            <v>49.127179516241213</v>
          </cell>
          <cell r="BX104">
            <v>21.843490595674382</v>
          </cell>
        </row>
        <row r="105">
          <cell r="BU105">
            <v>4.7460603787440235E-2</v>
          </cell>
          <cell r="BV105">
            <v>30.234266167239142</v>
          </cell>
          <cell r="BW105">
            <v>44.728069584446118</v>
          </cell>
          <cell r="BX105">
            <v>24.990203644527302</v>
          </cell>
        </row>
        <row r="106">
          <cell r="BU106">
            <v>0</v>
          </cell>
          <cell r="BV106">
            <v>24.851113788527122</v>
          </cell>
          <cell r="BW106">
            <v>54.242477336792916</v>
          </cell>
          <cell r="BX106">
            <v>20.906408874679961</v>
          </cell>
        </row>
        <row r="107">
          <cell r="BU107">
            <v>0</v>
          </cell>
          <cell r="BV107">
            <v>20.527300594846466</v>
          </cell>
          <cell r="BW107">
            <v>55.577093566787347</v>
          </cell>
          <cell r="BX107">
            <v>23.89560583836618</v>
          </cell>
        </row>
        <row r="108">
          <cell r="BU108">
            <v>0</v>
          </cell>
          <cell r="BV108">
            <v>28.910288296046183</v>
          </cell>
          <cell r="BW108">
            <v>53.165222644808097</v>
          </cell>
          <cell r="BX108">
            <v>17.924489059145717</v>
          </cell>
        </row>
        <row r="109">
          <cell r="BU109">
            <v>0</v>
          </cell>
          <cell r="BV109">
            <v>18.561667401515749</v>
          </cell>
          <cell r="BW109">
            <v>54.964379348290763</v>
          </cell>
          <cell r="BX109">
            <v>26.473953250193482</v>
          </cell>
        </row>
        <row r="110">
          <cell r="BU110">
            <v>0</v>
          </cell>
          <cell r="BV110">
            <v>21.027935808155583</v>
          </cell>
          <cell r="BW110">
            <v>54.32060057604793</v>
          </cell>
          <cell r="BX110">
            <v>24.651463615796484</v>
          </cell>
        </row>
        <row r="111">
          <cell r="BU111">
            <v>0</v>
          </cell>
          <cell r="BV111">
            <v>15.445419036267364</v>
          </cell>
          <cell r="BW111">
            <v>56.057048885068362</v>
          </cell>
          <cell r="BX111">
            <v>28.497532078664278</v>
          </cell>
        </row>
        <row r="112">
          <cell r="BU112">
            <v>0</v>
          </cell>
          <cell r="BV112">
            <v>16.137525349266589</v>
          </cell>
          <cell r="BW112">
            <v>56.355616550981324</v>
          </cell>
          <cell r="BX112">
            <v>27.506858099752087</v>
          </cell>
        </row>
        <row r="113">
          <cell r="BU113">
            <v>0</v>
          </cell>
          <cell r="BV113">
            <v>17.759184232687641</v>
          </cell>
          <cell r="BW113">
            <v>56.257597101982469</v>
          </cell>
          <cell r="BX113">
            <v>25.983218665329883</v>
          </cell>
        </row>
        <row r="114">
          <cell r="BU114">
            <v>0</v>
          </cell>
          <cell r="BV114">
            <v>16.910723071182673</v>
          </cell>
          <cell r="BW114">
            <v>56.382916494305988</v>
          </cell>
          <cell r="BX114">
            <v>26.706360434511321</v>
          </cell>
        </row>
      </sheetData>
      <sheetData sheetId="14"/>
      <sheetData sheetId="15"/>
      <sheetData sheetId="16"/>
      <sheetData sheetId="17">
        <row r="5">
          <cell r="G5">
            <v>32.735294117647058</v>
          </cell>
          <cell r="S5">
            <v>33.235294117647044</v>
          </cell>
          <cell r="T5">
            <v>6.5276470588235291</v>
          </cell>
          <cell r="U5">
            <v>-432</v>
          </cell>
          <cell r="V5">
            <v>3.71</v>
          </cell>
        </row>
        <row r="6">
          <cell r="S6">
            <v>33.090000000000003</v>
          </cell>
          <cell r="T6">
            <v>6.51</v>
          </cell>
          <cell r="U6">
            <v>-434.09</v>
          </cell>
          <cell r="V6">
            <v>4.82</v>
          </cell>
        </row>
        <row r="7">
          <cell r="S7">
            <v>33.450000000000003</v>
          </cell>
          <cell r="T7">
            <v>6.47</v>
          </cell>
          <cell r="U7">
            <v>-435.88</v>
          </cell>
          <cell r="V7">
            <v>5.64</v>
          </cell>
        </row>
        <row r="8">
          <cell r="S8">
            <v>33.020000000000003</v>
          </cell>
          <cell r="T8">
            <v>6.47</v>
          </cell>
          <cell r="U8">
            <v>-436.88</v>
          </cell>
          <cell r="V8">
            <v>6.15</v>
          </cell>
        </row>
        <row r="9">
          <cell r="S9">
            <v>32.979999999999997</v>
          </cell>
          <cell r="T9">
            <v>6.47</v>
          </cell>
          <cell r="U9">
            <v>-438.57</v>
          </cell>
          <cell r="V9">
            <v>6.46</v>
          </cell>
        </row>
        <row r="10">
          <cell r="S10">
            <v>33.08</v>
          </cell>
          <cell r="T10">
            <v>6.45</v>
          </cell>
          <cell r="U10">
            <v>-436.52</v>
          </cell>
          <cell r="V10">
            <v>6.79</v>
          </cell>
        </row>
        <row r="11">
          <cell r="S11">
            <v>33.01</v>
          </cell>
          <cell r="T11">
            <v>6.41</v>
          </cell>
          <cell r="U11">
            <v>-433.9</v>
          </cell>
          <cell r="V11">
            <v>7.88</v>
          </cell>
        </row>
        <row r="12">
          <cell r="S12">
            <v>33.14</v>
          </cell>
          <cell r="T12">
            <v>6.4</v>
          </cell>
          <cell r="U12">
            <v>-436.14</v>
          </cell>
          <cell r="V12">
            <v>8.5399999999999991</v>
          </cell>
        </row>
        <row r="13">
          <cell r="S13">
            <v>33.063999999999986</v>
          </cell>
          <cell r="T13">
            <v>6.4067999999999961</v>
          </cell>
          <cell r="U13">
            <v>-436.08</v>
          </cell>
          <cell r="V13">
            <v>9.1300000000000008</v>
          </cell>
        </row>
        <row r="14">
          <cell r="S14">
            <v>33.404545454545442</v>
          </cell>
          <cell r="T14">
            <v>6.39</v>
          </cell>
          <cell r="U14">
            <v>-411.68181818181819</v>
          </cell>
          <cell r="V14">
            <v>9.4600000000000009</v>
          </cell>
        </row>
        <row r="15">
          <cell r="S15">
            <v>33.068000000000005</v>
          </cell>
          <cell r="T15">
            <v>6.3979999999999997</v>
          </cell>
          <cell r="U15">
            <v>-423.8</v>
          </cell>
          <cell r="V15">
            <v>9.89</v>
          </cell>
        </row>
        <row r="16">
          <cell r="S16">
            <v>33.908695652173918</v>
          </cell>
          <cell r="T16">
            <v>6.3908695652173906</v>
          </cell>
          <cell r="U16">
            <v>-429.04347826086956</v>
          </cell>
          <cell r="V16">
            <v>10.98</v>
          </cell>
        </row>
        <row r="17">
          <cell r="S17">
            <v>33.255555555555553</v>
          </cell>
          <cell r="T17">
            <v>6.3800000000000008</v>
          </cell>
          <cell r="U17">
            <v>-429.38888888888891</v>
          </cell>
          <cell r="V17">
            <v>11.78</v>
          </cell>
        </row>
        <row r="18">
          <cell r="S18">
            <v>32.966666666666669</v>
          </cell>
          <cell r="T18">
            <v>6.3852380952380967</v>
          </cell>
          <cell r="U18">
            <v>-429.09523809523807</v>
          </cell>
          <cell r="V18">
            <v>12.12</v>
          </cell>
        </row>
        <row r="19">
          <cell r="S19">
            <v>32.991666666666681</v>
          </cell>
          <cell r="T19">
            <v>6.3720833333333324</v>
          </cell>
          <cell r="U19">
            <v>-431.875</v>
          </cell>
          <cell r="V19">
            <v>12.44</v>
          </cell>
        </row>
        <row r="20">
          <cell r="S20">
            <v>32.891304349999999</v>
          </cell>
          <cell r="T20">
            <v>6.3521739129999997</v>
          </cell>
          <cell r="U20">
            <v>-434.69565219999998</v>
          </cell>
          <cell r="V20">
            <v>12.88</v>
          </cell>
        </row>
        <row r="21">
          <cell r="S21">
            <v>32.965000000000003</v>
          </cell>
          <cell r="T21">
            <v>6.3570000000000002</v>
          </cell>
          <cell r="U21">
            <v>-389.8</v>
          </cell>
          <cell r="V21">
            <v>13.97</v>
          </cell>
        </row>
        <row r="22">
          <cell r="S22">
            <v>32.473684210526315</v>
          </cell>
          <cell r="T22">
            <v>6.3400000000000016</v>
          </cell>
          <cell r="U22">
            <v>-418.89473684210526</v>
          </cell>
          <cell r="V22">
            <v>14.75</v>
          </cell>
        </row>
        <row r="23">
          <cell r="S23">
            <v>33.026086956521752</v>
          </cell>
          <cell r="T23">
            <v>6.3452173913043461</v>
          </cell>
          <cell r="U23">
            <v>-437.6521739130435</v>
          </cell>
          <cell r="V23">
            <v>15.17</v>
          </cell>
        </row>
        <row r="24">
          <cell r="S24">
            <v>33.154166666666676</v>
          </cell>
          <cell r="T24">
            <v>6.3574999999999973</v>
          </cell>
          <cell r="U24">
            <v>-440.75</v>
          </cell>
          <cell r="V24">
            <v>15.48</v>
          </cell>
        </row>
        <row r="25">
          <cell r="S25">
            <v>32.794444439999999</v>
          </cell>
          <cell r="T25">
            <v>6.358333333</v>
          </cell>
          <cell r="U25">
            <v>-441.22222219999998</v>
          </cell>
          <cell r="V25">
            <v>16.21</v>
          </cell>
        </row>
        <row r="26">
          <cell r="S26">
            <v>33.486666669999998</v>
          </cell>
          <cell r="T26">
            <v>6.3426666669999996</v>
          </cell>
          <cell r="U26">
            <v>-444</v>
          </cell>
          <cell r="V26">
            <v>16.55</v>
          </cell>
        </row>
        <row r="27">
          <cell r="S27">
            <v>33.290476190476191</v>
          </cell>
          <cell r="T27">
            <v>6.3499999999999988</v>
          </cell>
          <cell r="U27">
            <v>-444.66666666666669</v>
          </cell>
          <cell r="V27">
            <v>17.190000000000001</v>
          </cell>
        </row>
        <row r="28">
          <cell r="S28">
            <v>33.335294117647052</v>
          </cell>
          <cell r="T28">
            <v>6.3305882352941163</v>
          </cell>
          <cell r="U28">
            <v>-423.52941176470586</v>
          </cell>
          <cell r="V28">
            <v>18.36</v>
          </cell>
        </row>
        <row r="29">
          <cell r="S29">
            <v>33.44705882352941</v>
          </cell>
          <cell r="T29">
            <v>6.3552941176470608</v>
          </cell>
          <cell r="U29">
            <v>-445</v>
          </cell>
          <cell r="V29">
            <v>18.52</v>
          </cell>
        </row>
        <row r="30">
          <cell r="S30">
            <v>33.699999999999989</v>
          </cell>
          <cell r="T30">
            <v>6.39</v>
          </cell>
          <cell r="U30">
            <v>-448.36363636363637</v>
          </cell>
          <cell r="V30">
            <v>18.96</v>
          </cell>
        </row>
        <row r="31">
          <cell r="S31">
            <v>33.490476190476194</v>
          </cell>
          <cell r="T31">
            <v>6.3757142857142863</v>
          </cell>
          <cell r="U31">
            <v>-446.33333333333331</v>
          </cell>
          <cell r="V31">
            <v>19.3</v>
          </cell>
        </row>
        <row r="32">
          <cell r="S32">
            <v>33.352170000000001</v>
          </cell>
          <cell r="T32">
            <v>6.3604349999999998</v>
          </cell>
          <cell r="U32">
            <v>-445.04300000000001</v>
          </cell>
          <cell r="V32">
            <v>19.899999999999999</v>
          </cell>
        </row>
        <row r="33">
          <cell r="S33">
            <v>33.35</v>
          </cell>
          <cell r="T33">
            <v>6.3641670000000001</v>
          </cell>
          <cell r="U33">
            <v>-445.16699999999997</v>
          </cell>
          <cell r="V33">
            <v>20.6</v>
          </cell>
        </row>
        <row r="34">
          <cell r="S34">
            <v>32.729999999999997</v>
          </cell>
          <cell r="T34">
            <v>6.37</v>
          </cell>
          <cell r="U34">
            <v>-443.87</v>
          </cell>
          <cell r="V34">
            <v>20.8</v>
          </cell>
        </row>
        <row r="35">
          <cell r="S35">
            <v>33.130769230769246</v>
          </cell>
          <cell r="T35">
            <v>6.3515384615384596</v>
          </cell>
          <cell r="U35">
            <v>-442.92307692307691</v>
          </cell>
          <cell r="V35">
            <v>21.9</v>
          </cell>
        </row>
        <row r="36">
          <cell r="S36">
            <v>33.161900000000003</v>
          </cell>
          <cell r="T36">
            <v>6.3423809999999996</v>
          </cell>
          <cell r="U36">
            <v>-441.42899999999997</v>
          </cell>
          <cell r="V36">
            <v>22.3</v>
          </cell>
        </row>
        <row r="37">
          <cell r="S37">
            <v>32.381818181818183</v>
          </cell>
          <cell r="T37">
            <v>6.3477272727272718</v>
          </cell>
          <cell r="U37">
            <v>-439.77272727272725</v>
          </cell>
          <cell r="V37">
            <v>23.1</v>
          </cell>
        </row>
        <row r="38">
          <cell r="S38">
            <v>33.013039999999997</v>
          </cell>
          <cell r="T38">
            <v>6.32</v>
          </cell>
          <cell r="U38">
            <v>-439.52199999999999</v>
          </cell>
          <cell r="V38">
            <v>23.5</v>
          </cell>
        </row>
        <row r="39">
          <cell r="S39">
            <v>32.995829999999998</v>
          </cell>
          <cell r="T39">
            <v>6.335833</v>
          </cell>
          <cell r="U39">
            <v>-441.125</v>
          </cell>
          <cell r="V39">
            <v>23.9</v>
          </cell>
        </row>
        <row r="40">
          <cell r="S40">
            <v>33.054169999999999</v>
          </cell>
          <cell r="T40">
            <v>6.34</v>
          </cell>
          <cell r="U40">
            <v>-443.20800000000003</v>
          </cell>
          <cell r="V40">
            <v>24.4</v>
          </cell>
        </row>
        <row r="41">
          <cell r="S41">
            <v>33.203846153846158</v>
          </cell>
          <cell r="T41">
            <v>6.3130769230769213</v>
          </cell>
          <cell r="U41">
            <v>-438.30769230769232</v>
          </cell>
          <cell r="V41">
            <v>25.7</v>
          </cell>
        </row>
        <row r="42">
          <cell r="S42">
            <v>33.345454545454551</v>
          </cell>
          <cell r="T42">
            <v>6.2918181818181829</v>
          </cell>
          <cell r="U42">
            <v>-424.22727272727275</v>
          </cell>
          <cell r="V42">
            <v>26.4</v>
          </cell>
        </row>
        <row r="43">
          <cell r="S43">
            <v>33.177272727272722</v>
          </cell>
          <cell r="T43">
            <v>6.3127272727272716</v>
          </cell>
          <cell r="U43">
            <v>-439.63636363636363</v>
          </cell>
          <cell r="V43">
            <v>26.4</v>
          </cell>
        </row>
        <row r="44">
          <cell r="S44">
            <v>33.277272727272738</v>
          </cell>
          <cell r="T44">
            <v>6.3245454545454525</v>
          </cell>
          <cell r="U44">
            <v>-441</v>
          </cell>
          <cell r="V44">
            <v>26.3</v>
          </cell>
        </row>
        <row r="45">
          <cell r="S45">
            <v>32.413636363636364</v>
          </cell>
          <cell r="T45">
            <v>6.3336363636363613</v>
          </cell>
          <cell r="U45">
            <v>-442.31818181818181</v>
          </cell>
          <cell r="V45">
            <v>27.4</v>
          </cell>
        </row>
        <row r="46">
          <cell r="S46">
            <v>32.131578947368418</v>
          </cell>
          <cell r="T46">
            <v>6.3410526315789495</v>
          </cell>
          <cell r="U46">
            <v>-418.89473684210526</v>
          </cell>
          <cell r="V46">
            <v>28.5</v>
          </cell>
        </row>
        <row r="47">
          <cell r="S47">
            <v>33.494736842105276</v>
          </cell>
          <cell r="T47">
            <v>6.3247368421052608</v>
          </cell>
          <cell r="U47">
            <v>-434.68421052631578</v>
          </cell>
          <cell r="V47">
            <v>29.1</v>
          </cell>
        </row>
        <row r="48">
          <cell r="S48">
            <v>32.83846153846153</v>
          </cell>
          <cell r="T48">
            <v>6.3692307692307688</v>
          </cell>
          <cell r="U48">
            <v>-431.5</v>
          </cell>
          <cell r="V48">
            <v>29.1</v>
          </cell>
        </row>
        <row r="49">
          <cell r="S49">
            <v>33.268421052631574</v>
          </cell>
          <cell r="T49">
            <v>6.4031578947368422</v>
          </cell>
          <cell r="U49">
            <v>-426.10526315789474</v>
          </cell>
          <cell r="V49">
            <v>29.7</v>
          </cell>
        </row>
        <row r="50">
          <cell r="S50">
            <v>32.808695652173917</v>
          </cell>
          <cell r="T50">
            <v>6.4339130434782605</v>
          </cell>
          <cell r="U50">
            <v>-443.08695652173913</v>
          </cell>
          <cell r="V50">
            <v>30.4</v>
          </cell>
        </row>
        <row r="51">
          <cell r="S51">
            <v>33.220833333333331</v>
          </cell>
          <cell r="T51">
            <v>6.5204166666666667</v>
          </cell>
          <cell r="U51">
            <v>-451.29166666666669</v>
          </cell>
          <cell r="V51">
            <v>31.4</v>
          </cell>
        </row>
        <row r="52">
          <cell r="S52">
            <v>33.000000000000007</v>
          </cell>
          <cell r="T52">
            <v>6.5068181818181809</v>
          </cell>
          <cell r="U52">
            <v>-450.31818181818181</v>
          </cell>
          <cell r="V52">
            <v>31.9</v>
          </cell>
        </row>
        <row r="53">
          <cell r="S53">
            <v>33.227777777777781</v>
          </cell>
          <cell r="T53">
            <v>6.43</v>
          </cell>
          <cell r="U53">
            <v>-443.72222222222223</v>
          </cell>
          <cell r="V53">
            <v>32.4</v>
          </cell>
        </row>
        <row r="54">
          <cell r="S54">
            <v>32.98749999999999</v>
          </cell>
          <cell r="T54">
            <v>6.4049999999999976</v>
          </cell>
          <cell r="U54">
            <v>-440.70833333333331</v>
          </cell>
          <cell r="V54">
            <v>33.200000000000003</v>
          </cell>
        </row>
        <row r="55">
          <cell r="S55">
            <v>32.900000000000013</v>
          </cell>
          <cell r="T55">
            <v>6.395833333333333</v>
          </cell>
          <cell r="U55">
            <v>-443.54166666666669</v>
          </cell>
          <cell r="V55">
            <v>33.1</v>
          </cell>
        </row>
        <row r="56">
          <cell r="S56">
            <v>33.684210526315795</v>
          </cell>
          <cell r="T56">
            <v>6.4415789473684208</v>
          </cell>
          <cell r="U56">
            <v>-451.05263157894734</v>
          </cell>
          <cell r="V56">
            <v>33.700000000000003</v>
          </cell>
        </row>
        <row r="57">
          <cell r="S57">
            <v>33.108695652173921</v>
          </cell>
          <cell r="T57">
            <v>6.4717391304347816</v>
          </cell>
          <cell r="U57">
            <v>-455.3478260869565</v>
          </cell>
          <cell r="V57">
            <v>35</v>
          </cell>
        </row>
        <row r="58">
          <cell r="S58">
            <v>32.631818181818183</v>
          </cell>
          <cell r="T58">
            <v>6.4286363636363637</v>
          </cell>
          <cell r="U58">
            <v>-452.09090909090907</v>
          </cell>
          <cell r="V58">
            <v>34.799999999999997</v>
          </cell>
        </row>
        <row r="59">
          <cell r="S59">
            <v>32.827272727272735</v>
          </cell>
          <cell r="T59">
            <v>6.4259090909090899</v>
          </cell>
          <cell r="U59">
            <v>-451.86363636363637</v>
          </cell>
          <cell r="V59">
            <v>35.4</v>
          </cell>
        </row>
        <row r="60">
          <cell r="S60">
            <v>32.975000000000001</v>
          </cell>
          <cell r="T60">
            <v>6.3949999999999996</v>
          </cell>
          <cell r="U60">
            <v>-450.5</v>
          </cell>
          <cell r="V60">
            <v>35.5</v>
          </cell>
        </row>
        <row r="61">
          <cell r="S61">
            <v>33.100000000000009</v>
          </cell>
          <cell r="T61">
            <v>6.3740000000000006</v>
          </cell>
          <cell r="U61">
            <v>-448</v>
          </cell>
          <cell r="V61">
            <v>34.799999999999997</v>
          </cell>
        </row>
        <row r="62">
          <cell r="S62">
            <v>32.507692307692317</v>
          </cell>
          <cell r="T62">
            <v>6.4842307692307681</v>
          </cell>
          <cell r="U62">
            <v>-428.34615384615387</v>
          </cell>
          <cell r="V62">
            <v>37</v>
          </cell>
        </row>
        <row r="63">
          <cell r="S63">
            <v>31.004761904761907</v>
          </cell>
          <cell r="T63">
            <v>6.6333333333333337</v>
          </cell>
          <cell r="U63">
            <v>-267.33333333333331</v>
          </cell>
          <cell r="V63">
            <v>38.1</v>
          </cell>
        </row>
        <row r="64">
          <cell r="S64">
            <v>32.904545454545463</v>
          </cell>
          <cell r="T64">
            <v>6.459090909090909</v>
          </cell>
          <cell r="U64">
            <v>-378.63636363636363</v>
          </cell>
          <cell r="V64">
            <v>38</v>
          </cell>
        </row>
        <row r="65">
          <cell r="S65">
            <v>33.030434782608687</v>
          </cell>
          <cell r="T65">
            <v>6.4478260869565212</v>
          </cell>
          <cell r="U65">
            <v>-419.17391304347825</v>
          </cell>
          <cell r="V65">
            <v>38.299999999999997</v>
          </cell>
        </row>
        <row r="66">
          <cell r="S66">
            <v>32.545000000000002</v>
          </cell>
          <cell r="T66">
            <v>6.4389999999999983</v>
          </cell>
          <cell r="U66">
            <v>-426.05</v>
          </cell>
          <cell r="V66">
            <v>38.700000000000003</v>
          </cell>
        </row>
        <row r="67">
          <cell r="S67">
            <v>32.447369999999999</v>
          </cell>
          <cell r="T67">
            <v>6.4273680000000004</v>
          </cell>
          <cell r="U67">
            <v>-412.10500000000002</v>
          </cell>
          <cell r="V67">
            <v>39.1</v>
          </cell>
        </row>
        <row r="68">
          <cell r="S68">
            <v>33.141669999999998</v>
          </cell>
          <cell r="T68">
            <v>6.3991670000000003</v>
          </cell>
          <cell r="U68">
            <v>-425.91699999999997</v>
          </cell>
          <cell r="V68">
            <v>39.700000000000003</v>
          </cell>
        </row>
        <row r="69">
          <cell r="S69">
            <v>32.474999999999994</v>
          </cell>
          <cell r="T69">
            <v>6.3942857142857132</v>
          </cell>
          <cell r="U69">
            <v>-424.89285714285717</v>
          </cell>
          <cell r="V69">
            <v>38.9</v>
          </cell>
        </row>
        <row r="70">
          <cell r="S70">
            <v>32.728571428571428</v>
          </cell>
          <cell r="T70">
            <v>6.4099999999999984</v>
          </cell>
          <cell r="U70">
            <v>-420.85714285714283</v>
          </cell>
          <cell r="V70">
            <v>39.799999999999997</v>
          </cell>
        </row>
        <row r="71">
          <cell r="S71">
            <v>32.980952380952381</v>
          </cell>
          <cell r="T71">
            <v>6.4023809523809501</v>
          </cell>
          <cell r="U71">
            <v>-431.52380952380952</v>
          </cell>
          <cell r="V71">
            <v>41.2</v>
          </cell>
        </row>
        <row r="72">
          <cell r="S72">
            <v>32.750000000000007</v>
          </cell>
          <cell r="T72">
            <v>6.5220000000000002</v>
          </cell>
          <cell r="U72">
            <v>-402.8</v>
          </cell>
          <cell r="V72">
            <v>42.1</v>
          </cell>
        </row>
        <row r="73">
          <cell r="S73">
            <v>32.338095238095242</v>
          </cell>
          <cell r="T73">
            <v>6.6761904761904773</v>
          </cell>
          <cell r="U73">
            <v>-352.1904761904762</v>
          </cell>
          <cell r="V73">
            <v>43.3</v>
          </cell>
        </row>
        <row r="74">
          <cell r="S74">
            <v>33.168750000000003</v>
          </cell>
          <cell r="T74">
            <v>6.6143749999999999</v>
          </cell>
          <cell r="U74">
            <v>-414.75</v>
          </cell>
          <cell r="V74">
            <v>43.8</v>
          </cell>
        </row>
        <row r="75">
          <cell r="S75">
            <v>33.381250000000009</v>
          </cell>
          <cell r="T75">
            <v>6.4731249999999978</v>
          </cell>
          <cell r="U75">
            <v>-426.125</v>
          </cell>
          <cell r="V75">
            <v>43.8</v>
          </cell>
        </row>
        <row r="76">
          <cell r="S76">
            <v>33.049999999999997</v>
          </cell>
          <cell r="T76">
            <v>6.4225000000000003</v>
          </cell>
          <cell r="U76">
            <v>-431.3125</v>
          </cell>
          <cell r="V76">
            <v>45</v>
          </cell>
        </row>
        <row r="77">
          <cell r="S77">
            <v>32.891304347826086</v>
          </cell>
          <cell r="T77">
            <v>6.4486956521739112</v>
          </cell>
          <cell r="U77">
            <v>-434.30434782608694</v>
          </cell>
          <cell r="V77">
            <v>45.7</v>
          </cell>
        </row>
        <row r="78">
          <cell r="S78">
            <v>32.747826086956522</v>
          </cell>
          <cell r="T78">
            <v>6.4243478260869562</v>
          </cell>
          <cell r="U78">
            <v>-426.26086956521738</v>
          </cell>
          <cell r="V78">
            <v>45.1</v>
          </cell>
        </row>
        <row r="79">
          <cell r="S79">
            <v>33.299999999999997</v>
          </cell>
          <cell r="T79">
            <v>6.4165217391304337</v>
          </cell>
          <cell r="U79">
            <v>-434.69565217391306</v>
          </cell>
          <cell r="V79">
            <v>45.8</v>
          </cell>
        </row>
        <row r="80">
          <cell r="S80">
            <v>32.924999999999997</v>
          </cell>
          <cell r="T80">
            <v>6.4429999999999996</v>
          </cell>
          <cell r="U80">
            <v>-438.3</v>
          </cell>
          <cell r="V80">
            <v>45.2</v>
          </cell>
        </row>
        <row r="81">
          <cell r="S81">
            <v>32.6</v>
          </cell>
          <cell r="T81">
            <v>6.5964999999999989</v>
          </cell>
          <cell r="U81">
            <v>-345.65</v>
          </cell>
          <cell r="V81">
            <v>44.1</v>
          </cell>
        </row>
        <row r="82">
          <cell r="S82">
            <v>32.637500000000003</v>
          </cell>
          <cell r="T82">
            <v>6.496249999999999</v>
          </cell>
          <cell r="U82">
            <v>-405.58333333333331</v>
          </cell>
          <cell r="V82">
            <v>46.4</v>
          </cell>
        </row>
        <row r="83">
          <cell r="S83">
            <v>32.505263157894746</v>
          </cell>
          <cell r="T83">
            <v>6.4289473684210527</v>
          </cell>
          <cell r="U83">
            <v>-427.10526315789474</v>
          </cell>
          <cell r="V83">
            <v>46.9</v>
          </cell>
        </row>
        <row r="84">
          <cell r="S84">
            <v>32.805263157894743</v>
          </cell>
          <cell r="T84">
            <v>6.4121052631578941</v>
          </cell>
          <cell r="U84">
            <v>-429.31578947368422</v>
          </cell>
          <cell r="V84">
            <v>48.6</v>
          </cell>
        </row>
        <row r="85">
          <cell r="S85">
            <v>32.6</v>
          </cell>
          <cell r="T85">
            <v>6.4308333333333314</v>
          </cell>
          <cell r="U85">
            <v>-373.04166666666669</v>
          </cell>
          <cell r="V85">
            <v>48.8</v>
          </cell>
        </row>
        <row r="86">
          <cell r="S86">
            <v>32.742857142857154</v>
          </cell>
          <cell r="T86">
            <v>6.4152380952380934</v>
          </cell>
          <cell r="U86">
            <v>-419.8095238095238</v>
          </cell>
          <cell r="V86">
            <v>49.6</v>
          </cell>
        </row>
        <row r="87">
          <cell r="S87">
            <v>33.30952380952381</v>
          </cell>
          <cell r="T87">
            <v>6.38904761904762</v>
          </cell>
          <cell r="U87">
            <v>-427.1904761904762</v>
          </cell>
          <cell r="V87">
            <v>49.9</v>
          </cell>
        </row>
        <row r="88">
          <cell r="S88">
            <v>32.859090909090909</v>
          </cell>
          <cell r="T88">
            <v>6.3827272727272737</v>
          </cell>
          <cell r="U88">
            <v>-426.86363636363637</v>
          </cell>
          <cell r="V88">
            <v>50.9</v>
          </cell>
        </row>
        <row r="89">
          <cell r="S89">
            <v>32.972727272727269</v>
          </cell>
          <cell r="T89">
            <v>6.3654545454545453</v>
          </cell>
          <cell r="U89">
            <v>-426.68181818181819</v>
          </cell>
          <cell r="V89">
            <v>51.3</v>
          </cell>
        </row>
        <row r="90">
          <cell r="S90">
            <v>33.027999999999992</v>
          </cell>
          <cell r="T90">
            <v>6.3507999999999969</v>
          </cell>
          <cell r="U90">
            <v>-426.84</v>
          </cell>
          <cell r="V90">
            <v>51.9</v>
          </cell>
        </row>
        <row r="91">
          <cell r="S91">
            <v>32.934782608695649</v>
          </cell>
          <cell r="T91">
            <v>6.3508695652173888</v>
          </cell>
          <cell r="U91">
            <v>-420.69565217391306</v>
          </cell>
          <cell r="V91">
            <v>52</v>
          </cell>
        </row>
        <row r="92">
          <cell r="S92">
            <v>33.012499999999996</v>
          </cell>
          <cell r="T92">
            <v>6.3599999999999968</v>
          </cell>
          <cell r="U92">
            <v>-372.25</v>
          </cell>
          <cell r="V92">
            <v>53.3</v>
          </cell>
        </row>
        <row r="93">
          <cell r="S93">
            <v>32.969565217391306</v>
          </cell>
          <cell r="T93">
            <v>6.3482608695652161</v>
          </cell>
          <cell r="U93">
            <v>-414.60869565217394</v>
          </cell>
          <cell r="V93">
            <v>53.2</v>
          </cell>
        </row>
        <row r="94">
          <cell r="S94">
            <v>32.954545454545446</v>
          </cell>
          <cell r="T94">
            <v>6.3499999999999979</v>
          </cell>
          <cell r="U94">
            <v>-418</v>
          </cell>
          <cell r="V94">
            <v>54</v>
          </cell>
        </row>
        <row r="95">
          <cell r="S95">
            <v>33.086959999999998</v>
          </cell>
          <cell r="T95">
            <v>6.3530430000000004</v>
          </cell>
          <cell r="U95">
            <v>-399.52199999999999</v>
          </cell>
          <cell r="V95">
            <v>53.4</v>
          </cell>
        </row>
        <row r="96">
          <cell r="S96">
            <v>33.357140000000001</v>
          </cell>
          <cell r="T96">
            <v>6.3352380000000004</v>
          </cell>
          <cell r="U96">
            <v>-413.57100000000003</v>
          </cell>
          <cell r="V96">
            <v>55.1</v>
          </cell>
        </row>
        <row r="97">
          <cell r="S97">
            <v>33.061540000000001</v>
          </cell>
          <cell r="T97">
            <v>6.32</v>
          </cell>
          <cell r="U97">
            <v>-420.61500000000001</v>
          </cell>
          <cell r="V97">
            <v>55</v>
          </cell>
        </row>
        <row r="98">
          <cell r="S98">
            <v>32.900000000000006</v>
          </cell>
          <cell r="T98">
            <v>6.3191666666666633</v>
          </cell>
          <cell r="U98">
            <v>-423.08333333333331</v>
          </cell>
          <cell r="V98">
            <v>55.5</v>
          </cell>
        </row>
        <row r="99">
          <cell r="S99">
            <v>32.795652173913048</v>
          </cell>
          <cell r="T99">
            <v>6.3400000000000025</v>
          </cell>
          <cell r="U99">
            <v>-422.82608695652175</v>
          </cell>
          <cell r="V99">
            <v>55.7</v>
          </cell>
        </row>
        <row r="100">
          <cell r="S100">
            <v>33.031818181818181</v>
          </cell>
          <cell r="T100">
            <v>6.3363636363636395</v>
          </cell>
          <cell r="U100">
            <v>-427.5</v>
          </cell>
          <cell r="V100">
            <v>56.9</v>
          </cell>
        </row>
        <row r="101">
          <cell r="S101">
            <v>32.359090909090909</v>
          </cell>
          <cell r="T101">
            <v>6.3418181818181827</v>
          </cell>
          <cell r="U101">
            <v>-395.95454545454544</v>
          </cell>
          <cell r="V101">
            <v>58</v>
          </cell>
        </row>
        <row r="102">
          <cell r="S102">
            <v>32.469230769230769</v>
          </cell>
          <cell r="T102">
            <v>6.3499999999999979</v>
          </cell>
          <cell r="U102">
            <v>-335.19230769230768</v>
          </cell>
          <cell r="V102">
            <v>58.4</v>
          </cell>
        </row>
        <row r="103">
          <cell r="S103">
            <v>32.861899999999999</v>
          </cell>
          <cell r="T103">
            <v>6.3414289999999998</v>
          </cell>
          <cell r="U103">
            <v>-383.238</v>
          </cell>
          <cell r="V103">
            <v>58.1</v>
          </cell>
        </row>
        <row r="104">
          <cell r="S104">
            <v>32.976923076923086</v>
          </cell>
          <cell r="T104">
            <v>6.3261538461538427</v>
          </cell>
          <cell r="U104">
            <v>-388.76923076923077</v>
          </cell>
          <cell r="V104">
            <v>57</v>
          </cell>
        </row>
        <row r="105">
          <cell r="S105">
            <v>32.800000000000004</v>
          </cell>
          <cell r="T105">
            <v>6.3208333333333302</v>
          </cell>
          <cell r="U105">
            <v>-390.25</v>
          </cell>
          <cell r="V105">
            <v>56</v>
          </cell>
        </row>
        <row r="106">
          <cell r="S106">
            <v>32.75</v>
          </cell>
          <cell r="T106">
            <v>6.3400000000000025</v>
          </cell>
          <cell r="U106">
            <v>-390</v>
          </cell>
          <cell r="V106">
            <v>56.1</v>
          </cell>
        </row>
        <row r="107">
          <cell r="S107">
            <v>32.974999999999994</v>
          </cell>
          <cell r="T107">
            <v>6.3400000000000025</v>
          </cell>
          <cell r="U107">
            <v>-399.66666666666669</v>
          </cell>
          <cell r="V107">
            <v>57.1</v>
          </cell>
        </row>
        <row r="108">
          <cell r="S108">
            <v>33.004761904761899</v>
          </cell>
          <cell r="T108">
            <v>6.3400000000000016</v>
          </cell>
          <cell r="U108">
            <v>-388.85714285714283</v>
          </cell>
          <cell r="V108">
            <v>57.8</v>
          </cell>
        </row>
        <row r="109">
          <cell r="S109">
            <v>33.634779999999999</v>
          </cell>
          <cell r="T109">
            <v>6.3417389999999996</v>
          </cell>
          <cell r="U109">
            <v>-337.65199999999999</v>
          </cell>
          <cell r="V109">
            <v>57.8</v>
          </cell>
        </row>
        <row r="110">
          <cell r="S110">
            <v>32.365519999999997</v>
          </cell>
          <cell r="T110">
            <v>6.3396549999999996</v>
          </cell>
          <cell r="U110">
            <v>-389.44799999999998</v>
          </cell>
          <cell r="V110">
            <v>57.2</v>
          </cell>
        </row>
        <row r="111">
          <cell r="S111">
            <v>32.781818181818174</v>
          </cell>
          <cell r="T111">
            <v>6.3609090909090931</v>
          </cell>
          <cell r="U111">
            <v>-404.5</v>
          </cell>
          <cell r="V111">
            <v>57.9</v>
          </cell>
        </row>
        <row r="112">
          <cell r="S112">
            <v>32.95652173913043</v>
          </cell>
          <cell r="T112">
            <v>6.3734782608695655</v>
          </cell>
          <cell r="U112">
            <v>-408.47826086956519</v>
          </cell>
          <cell r="V112">
            <v>57.6</v>
          </cell>
        </row>
        <row r="113">
          <cell r="S113">
            <v>32.995652173913037</v>
          </cell>
          <cell r="T113">
            <v>6.3899999999999988</v>
          </cell>
          <cell r="U113">
            <v>-364.3478260869565</v>
          </cell>
          <cell r="V113">
            <v>57.8</v>
          </cell>
        </row>
        <row r="114">
          <cell r="S114">
            <v>33.209090909090918</v>
          </cell>
          <cell r="T114">
            <v>6.3909090909090907</v>
          </cell>
          <cell r="U114">
            <v>-418.18181818181819</v>
          </cell>
          <cell r="V114">
            <v>58.1</v>
          </cell>
        </row>
      </sheetData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74"/>
  <sheetViews>
    <sheetView tabSelected="1" topLeftCell="Q1" zoomScale="90" zoomScaleNormal="90" workbookViewId="0">
      <selection activeCell="M1" sqref="M1"/>
    </sheetView>
  </sheetViews>
  <sheetFormatPr defaultRowHeight="15.5"/>
  <cols>
    <col min="1" max="1" width="11.5" customWidth="1"/>
    <col min="4" max="4" width="6" bestFit="1" customWidth="1"/>
    <col min="5" max="5" width="5" bestFit="1" customWidth="1"/>
    <col min="6" max="6" width="7.58203125" bestFit="1" customWidth="1"/>
    <col min="7" max="7" width="6" bestFit="1" customWidth="1"/>
    <col min="8" max="8" width="21" customWidth="1"/>
    <col min="9" max="9" width="14.08203125" bestFit="1" customWidth="1"/>
    <col min="10" max="10" width="13.58203125" bestFit="1" customWidth="1"/>
    <col min="11" max="11" width="16.33203125" bestFit="1" customWidth="1"/>
    <col min="12" max="12" width="16.75" bestFit="1" customWidth="1"/>
    <col min="13" max="13" width="14.33203125" bestFit="1" customWidth="1"/>
    <col min="14" max="14" width="16.5" bestFit="1" customWidth="1"/>
    <col min="15" max="15" width="19.5" bestFit="1" customWidth="1"/>
    <col min="16" max="16" width="20.5" bestFit="1" customWidth="1"/>
    <col min="17" max="17" width="33.58203125" bestFit="1" customWidth="1"/>
    <col min="18" max="18" width="25.5" bestFit="1" customWidth="1"/>
    <col min="19" max="19" width="25.33203125" bestFit="1" customWidth="1"/>
    <col min="20" max="20" width="21.25" customWidth="1"/>
    <col min="21" max="21" width="12.33203125" bestFit="1" customWidth="1"/>
    <col min="23" max="23" width="17.58203125" customWidth="1"/>
    <col min="24" max="24" width="15.33203125" customWidth="1"/>
    <col min="26" max="26" width="15.5" bestFit="1" customWidth="1"/>
    <col min="27" max="27" width="14.33203125" bestFit="1" customWidth="1"/>
    <col min="28" max="28" width="9.83203125" bestFit="1" customWidth="1"/>
    <col min="29" max="29" width="20" bestFit="1" customWidth="1"/>
    <col min="30" max="30" width="21.5" bestFit="1" customWidth="1"/>
    <col min="31" max="31" width="27" bestFit="1" customWidth="1"/>
    <col min="32" max="32" width="51" bestFit="1" customWidth="1"/>
  </cols>
  <sheetData>
    <row r="1" spans="1:32">
      <c r="A1" t="s">
        <v>0</v>
      </c>
      <c r="B1" t="s">
        <v>27</v>
      </c>
      <c r="C1" t="s">
        <v>26</v>
      </c>
      <c r="D1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13</v>
      </c>
      <c r="M1" s="8" t="s">
        <v>9</v>
      </c>
      <c r="N1" s="7" t="s">
        <v>21</v>
      </c>
      <c r="O1" s="7" t="s">
        <v>25</v>
      </c>
      <c r="P1" t="s">
        <v>22</v>
      </c>
      <c r="Q1" t="s">
        <v>141</v>
      </c>
      <c r="R1" s="7" t="s">
        <v>140</v>
      </c>
      <c r="S1" t="s">
        <v>23</v>
      </c>
      <c r="T1" s="7" t="s">
        <v>10</v>
      </c>
      <c r="U1" t="s">
        <v>17</v>
      </c>
      <c r="V1" s="7" t="s">
        <v>18</v>
      </c>
      <c r="W1" s="7" t="s">
        <v>19</v>
      </c>
      <c r="X1" s="7" t="s">
        <v>20</v>
      </c>
      <c r="Y1" s="7" t="s">
        <v>11</v>
      </c>
      <c r="Z1" s="7" t="s">
        <v>14</v>
      </c>
      <c r="AA1" t="s">
        <v>15</v>
      </c>
      <c r="AB1" t="s">
        <v>16</v>
      </c>
      <c r="AC1" t="s">
        <v>138</v>
      </c>
      <c r="AD1" t="s">
        <v>12</v>
      </c>
      <c r="AE1" t="s">
        <v>24</v>
      </c>
      <c r="AF1" t="s">
        <v>139</v>
      </c>
    </row>
    <row r="2" spans="1:32">
      <c r="A2" s="1">
        <v>44836</v>
      </c>
      <c r="B2">
        <v>1</v>
      </c>
      <c r="C2" t="s">
        <v>28</v>
      </c>
      <c r="D2" s="6">
        <f>IF('[1]env-PLC'!S5="","",'[1]env-PLC'!S5)</f>
        <v>33.235294117647044</v>
      </c>
      <c r="E2" s="6">
        <f>IF('[1]env-PLC'!T5="","",'[1]env-PLC'!T5)</f>
        <v>6.5276470588235291</v>
      </c>
      <c r="F2" s="6">
        <f>IF('[1]env-PLC'!U5="","",'[1]env-PLC'!U5)</f>
        <v>-432</v>
      </c>
      <c r="G2" s="6">
        <f>IF('[1]env-PLC'!V5="","",'[1]env-PLC'!V5)</f>
        <v>3.71</v>
      </c>
      <c r="H2" s="6">
        <f>IF([1]鹼度!L5="","",[1]鹼度!L5)</f>
        <v>1407.7</v>
      </c>
      <c r="I2" s="6">
        <f>IF([1]HPLC!CH5="","",[1]HPLC!CH5)</f>
        <v>1.6713916999999967E-2</v>
      </c>
      <c r="J2" s="6">
        <f>IF([1]HPLC!CI5="","",[1]HPLC!CI5)</f>
        <v>76.322065200000011</v>
      </c>
      <c r="K2" s="6">
        <f>IF([1]HPLC!CJ5="","",[1]HPLC!CJ5)</f>
        <v>54.017558461999997</v>
      </c>
      <c r="L2" s="6">
        <f>IF([1]HPLC!CK5="","",[1]HPLC!CK5)</f>
        <v>7.4615623619999987</v>
      </c>
      <c r="M2" s="6">
        <f>IF([1]HPLC!CL5="","",[1]HPLC!CL5)</f>
        <v>0</v>
      </c>
      <c r="N2" s="6">
        <f>IF([1]HPLC!CM5="","",[1]HPLC!CM5)</f>
        <v>6.1325952640000008</v>
      </c>
      <c r="O2" s="6">
        <f>IF([1]HPLC!CN5="","",[1]HPLC!CN5)</f>
        <v>189.32751074997</v>
      </c>
      <c r="P2" s="6">
        <f>IF([1]HPLC!CO5="","",[1]HPLC!CO5)</f>
        <v>350</v>
      </c>
      <c r="Q2" s="6">
        <f>IF([1]HPLC!CP5="","",[1]HPLC!CP5)</f>
        <v>0.54093574499991426</v>
      </c>
      <c r="R2" s="6">
        <f>IF([1]HPLC!CQ5="","",[1]HPLC!CQ5)</f>
        <v>91.547878984376339</v>
      </c>
      <c r="S2" s="6">
        <f>IF([1]HPLC!CR5="","",[1]HPLC!CR5)</f>
        <v>84.375</v>
      </c>
      <c r="T2" s="5">
        <f>IF([1]氣體產量!AC5="","",[1]氣體產量!AC5)</f>
        <v>1.0714626374098584</v>
      </c>
      <c r="U2" s="3">
        <f>IF('[1]GC-TCD'!BU5="","",'[1]GC-TCD'!BU5)</f>
        <v>0</v>
      </c>
      <c r="V2" s="6">
        <f>IF('[1]GC-TCD'!BV5="","",'[1]GC-TCD'!BV5)</f>
        <v>27.213881531945606</v>
      </c>
      <c r="W2" s="6">
        <f>IF('[1]GC-TCD'!BW5="","",'[1]GC-TCD'!BW5)</f>
        <v>53.30118977167875</v>
      </c>
      <c r="X2" s="6">
        <f>IF('[1]GC-TCD'!BX5="","",'[1]GC-TCD'!BX5)</f>
        <v>19.484928696375647</v>
      </c>
      <c r="Y2">
        <v>299.54000000000002</v>
      </c>
      <c r="Z2" s="6">
        <f>IF([1]SS!AB5="","",[1]SS!AB5)</f>
        <v>10249.99999999998</v>
      </c>
      <c r="AA2" s="6">
        <f>IF([1]SS!AG5="","",[1]SS!AG5)</f>
        <v>299.99999999999653</v>
      </c>
      <c r="AB2" s="6">
        <f>IF([1]流量!AF5="","",[1]流量!AF5)</f>
        <v>2</v>
      </c>
      <c r="AC2" s="6">
        <f>IF([1]流量!AN5="","",[1]流量!AN5)</f>
        <v>1.1200000000000001</v>
      </c>
      <c r="AD2" s="4">
        <f>IF([1]氣體產量!AH5="","",[1]氣體產量!AH5)</f>
        <v>0.57110233369846275</v>
      </c>
      <c r="AE2" s="4">
        <f>IF([1]methane_yield!W5="","",[1]methane_yield!W5)</f>
        <v>0.15914008326321583</v>
      </c>
      <c r="AF2" s="4">
        <f>IF([1]methane_yield!AA5="","",[1]methane_yield!AA5)</f>
        <v>0.15914008326321583</v>
      </c>
    </row>
    <row r="3" spans="1:32">
      <c r="A3" s="1">
        <v>44837</v>
      </c>
      <c r="B3">
        <v>2</v>
      </c>
      <c r="C3" t="s">
        <v>29</v>
      </c>
      <c r="D3" s="6">
        <f>IF('[1]env-PLC'!S6="","",'[1]env-PLC'!S6)</f>
        <v>33.090000000000003</v>
      </c>
      <c r="E3" s="6">
        <f>IF('[1]env-PLC'!T6="","",'[1]env-PLC'!T6)</f>
        <v>6.51</v>
      </c>
      <c r="F3" s="6">
        <f>IF('[1]env-PLC'!U6="","",'[1]env-PLC'!U6)</f>
        <v>-434.09</v>
      </c>
      <c r="G3" s="6">
        <f>IF('[1]env-PLC'!V6="","",'[1]env-PLC'!V6)</f>
        <v>4.82</v>
      </c>
      <c r="H3" s="6">
        <f>IF([1]鹼度!L6="","",[1]鹼度!L6)</f>
        <v>1482.35</v>
      </c>
      <c r="I3" s="6">
        <f>IF([1]HPLC!CH6="","",[1]HPLC!CH6)</f>
        <v>0.31749031729999999</v>
      </c>
      <c r="J3" s="6">
        <f>IF([1]HPLC!CI6="","",[1]HPLC!CI6)</f>
        <v>50.283254279999994</v>
      </c>
      <c r="K3" s="6">
        <f>IF([1]HPLC!CJ6="","",[1]HPLC!CJ6)</f>
        <v>33.768276161999999</v>
      </c>
      <c r="L3" s="6">
        <f>IF([1]HPLC!CK6="","",[1]HPLC!CK6)</f>
        <v>3.9579765779999998</v>
      </c>
      <c r="M3" s="6">
        <f>IF([1]HPLC!CL6="","",[1]HPLC!CL6)</f>
        <v>0</v>
      </c>
      <c r="N3" s="6">
        <f>IF([1]HPLC!CM6="","",[1]HPLC!CM6)</f>
        <v>3.7133403839999999</v>
      </c>
      <c r="O3" s="6">
        <f>IF([1]HPLC!CN6="","",[1]HPLC!CN6)</f>
        <v>119.68303245059501</v>
      </c>
      <c r="P3" s="6">
        <f>IF([1]HPLC!CO6="","",[1]HPLC!CO6)</f>
        <v>140</v>
      </c>
      <c r="Q3" s="6">
        <f>IF([1]HPLC!CP6="","",[1]HPLC!CP6)</f>
        <v>0.85487880321853582</v>
      </c>
      <c r="R3" s="6">
        <f>IF([1]HPLC!CQ6="","",[1]HPLC!CQ6)</f>
        <v>94.657007479884157</v>
      </c>
      <c r="S3" s="6">
        <f>IF([1]HPLC!CR6="","",[1]HPLC!CR6)</f>
        <v>93.75</v>
      </c>
      <c r="T3" s="5">
        <f>IF([1]氣體產量!AC6="","",[1]氣體產量!AC6)</f>
        <v>0.67191991004516094</v>
      </c>
      <c r="U3" s="3">
        <f>IF('[1]GC-TCD'!BU6="","",'[1]GC-TCD'!BU6)</f>
        <v>0</v>
      </c>
      <c r="V3" s="6">
        <f>IF('[1]GC-TCD'!BV6="","",'[1]GC-TCD'!BV6)</f>
        <v>23.040468133324264</v>
      </c>
      <c r="W3" s="6">
        <f>IF('[1]GC-TCD'!BW6="","",'[1]GC-TCD'!BW6)</f>
        <v>54.589766852816538</v>
      </c>
      <c r="X3" s="6">
        <f>IF('[1]GC-TCD'!BX6="","",'[1]GC-TCD'!BX6)</f>
        <v>22.369765013859215</v>
      </c>
      <c r="Y3">
        <v>274.517</v>
      </c>
      <c r="Z3" s="6">
        <f>IF([1]SS!AB6="","",[1]SS!AB6)</f>
        <v>8500.0000000001746</v>
      </c>
      <c r="AA3" s="6">
        <f>IF([1]SS!AG6="","",[1]SS!AG6)</f>
        <v>179.99999999999497</v>
      </c>
      <c r="AB3" s="6">
        <f>IF([1]流量!AF6="","",[1]流量!AF6)</f>
        <v>2.0434995765931441</v>
      </c>
      <c r="AC3" s="6">
        <f>IF([1]流量!AN6="","",[1]流量!AN6)</f>
        <v>1.0775596196025887</v>
      </c>
      <c r="AD3" s="4">
        <f>IF([1]氣體產量!AH6="","",[1]氣體產量!AH6)</f>
        <v>0.36679951233130792</v>
      </c>
      <c r="AE3" s="4">
        <f>IF([1]methane_yield!W6="","",[1]methane_yield!W6)</f>
        <v>9.8853013271135881E-2</v>
      </c>
      <c r="AF3" s="4">
        <f>IF([1]methane_yield!AA6="","",[1]methane_yield!AA6)</f>
        <v>0.10274640293639137</v>
      </c>
    </row>
    <row r="4" spans="1:32">
      <c r="A4" s="1">
        <v>44838</v>
      </c>
      <c r="B4">
        <v>3</v>
      </c>
      <c r="C4" t="s">
        <v>30</v>
      </c>
      <c r="D4" s="6">
        <f>IF('[1]env-PLC'!S7="","",'[1]env-PLC'!S7)</f>
        <v>33.450000000000003</v>
      </c>
      <c r="E4" s="6">
        <f>IF('[1]env-PLC'!T7="","",'[1]env-PLC'!T7)</f>
        <v>6.47</v>
      </c>
      <c r="F4" s="6">
        <f>IF('[1]env-PLC'!U7="","",'[1]env-PLC'!U7)</f>
        <v>-435.88</v>
      </c>
      <c r="G4" s="6">
        <f>IF('[1]env-PLC'!V7="","",'[1]env-PLC'!V7)</f>
        <v>5.64</v>
      </c>
      <c r="H4" s="6">
        <f>IF([1]鹼度!L7="","",[1]鹼度!L7)</f>
        <v>1508.65</v>
      </c>
      <c r="I4" s="6">
        <f>IF([1]HPLC!CH7="","",[1]HPLC!CH7)</f>
        <v>1.208836738</v>
      </c>
      <c r="J4" s="6">
        <f>IF([1]HPLC!CI7="","",[1]HPLC!CI7)</f>
        <v>30.48884292</v>
      </c>
      <c r="K4" s="6">
        <f>IF([1]HPLC!CJ7="","",[1]HPLC!CJ7)</f>
        <v>16.117741624000001</v>
      </c>
      <c r="L4" s="6">
        <f>IF([1]HPLC!CK7="","",[1]HPLC!CK7)</f>
        <v>2.5315970099999996</v>
      </c>
      <c r="M4" s="6">
        <f>IF([1]HPLC!CL7="","",[1]HPLC!CL7)</f>
        <v>0</v>
      </c>
      <c r="N4" s="6">
        <f>IF([1]HPLC!CM7="","",[1]HPLC!CM7)</f>
        <v>1.4354748239999999</v>
      </c>
      <c r="O4" s="6">
        <f>IF([1]HPLC!CN7="","",[1]HPLC!CN7)</f>
        <v>64.919819834099997</v>
      </c>
      <c r="P4" s="6">
        <f>IF([1]HPLC!CO7="","",[1]HPLC!CO7)</f>
        <v>180</v>
      </c>
      <c r="Q4" s="6">
        <f>IF([1]HPLC!CP7="","",[1]HPLC!CP7)</f>
        <v>0.36066566574499997</v>
      </c>
      <c r="R4" s="6">
        <f>IF([1]HPLC!CQ7="","",[1]HPLC!CQ7)</f>
        <v>97.101793757406256</v>
      </c>
      <c r="S4" s="6">
        <f>IF([1]HPLC!CR7="","",[1]HPLC!CR7)</f>
        <v>91.964285714285708</v>
      </c>
      <c r="T4" s="5">
        <f>IF([1]氣體產量!AC7="","",[1]氣體產量!AC7)</f>
        <v>0.67823097052829429</v>
      </c>
      <c r="U4" s="3">
        <f>IF('[1]GC-TCD'!BU7="","",'[1]GC-TCD'!BU7)</f>
        <v>0</v>
      </c>
      <c r="V4" s="6">
        <f>IF('[1]GC-TCD'!BV7="","",'[1]GC-TCD'!BV7)</f>
        <v>19.794680067427002</v>
      </c>
      <c r="W4" s="6">
        <f>IF('[1]GC-TCD'!BW7="","",'[1]GC-TCD'!BW7)</f>
        <v>55.816542773998343</v>
      </c>
      <c r="X4" s="6">
        <f>IF('[1]GC-TCD'!BX7="","",'[1]GC-TCD'!BX7)</f>
        <v>24.388777158574648</v>
      </c>
      <c r="Y4">
        <v>252.62799999999999</v>
      </c>
      <c r="Z4" s="6">
        <f>IF([1]SS!AB7="","",[1]SS!AB7)</f>
        <v>11000.000000000453</v>
      </c>
      <c r="AA4" s="6">
        <f>IF([1]SS!AG7="","",[1]SS!AG7)</f>
        <v>159.99999999999719</v>
      </c>
      <c r="AB4" s="6">
        <f>IF([1]流量!AF7="","",[1]流量!AF7)</f>
        <v>2.0463975858205155</v>
      </c>
      <c r="AC4" s="6">
        <f>IF([1]流量!AN7="","",[1]流量!AN7)</f>
        <v>1.1093936395741464</v>
      </c>
      <c r="AD4" s="4">
        <f>IF([1]氣體產量!AH7="","",[1]氣體產量!AH7)</f>
        <v>0.37856507977142945</v>
      </c>
      <c r="AE4" s="4">
        <f>IF([1]methane_yield!W7="","",[1]methane_yield!W7)</f>
        <v>9.9455139492849176E-2</v>
      </c>
      <c r="AF4" s="4">
        <f>IF([1]methane_yield!AA7="","",[1]methane_yield!AA7)</f>
        <v>0.10040598058120229</v>
      </c>
    </row>
    <row r="5" spans="1:32">
      <c r="A5" s="1">
        <v>44839</v>
      </c>
      <c r="B5">
        <v>4</v>
      </c>
      <c r="C5" t="s">
        <v>31</v>
      </c>
      <c r="D5" s="6">
        <f>IF('[1]env-PLC'!S8="","",'[1]env-PLC'!S8)</f>
        <v>33.020000000000003</v>
      </c>
      <c r="E5" s="6">
        <f>IF('[1]env-PLC'!T8="","",'[1]env-PLC'!T8)</f>
        <v>6.47</v>
      </c>
      <c r="F5" s="6">
        <f>IF('[1]env-PLC'!U8="","",'[1]env-PLC'!U8)</f>
        <v>-436.88</v>
      </c>
      <c r="G5" s="6">
        <f>IF('[1]env-PLC'!V8="","",'[1]env-PLC'!V8)</f>
        <v>6.15</v>
      </c>
      <c r="H5" s="6">
        <f>IF([1]鹼度!L8="","",[1]鹼度!L8)</f>
        <v>1536.65</v>
      </c>
      <c r="I5" s="6">
        <f>IF([1]HPLC!CH8="","",[1]HPLC!CH8)</f>
        <v>1.9209895589999997</v>
      </c>
      <c r="J5" s="6">
        <f>IF([1]HPLC!CI8="","",[1]HPLC!CI8)</f>
        <v>15.78125844</v>
      </c>
      <c r="K5" s="6">
        <f>IF([1]HPLC!CJ8="","",[1]HPLC!CJ8)</f>
        <v>6.0256627309999997</v>
      </c>
      <c r="L5" s="6">
        <f>IF([1]HPLC!CK8="","",[1]HPLC!CK8)</f>
        <v>0</v>
      </c>
      <c r="M5" s="6">
        <f>IF([1]HPLC!CL8="","",[1]HPLC!CL8)</f>
        <v>0</v>
      </c>
      <c r="N5" s="6">
        <f>IF([1]HPLC!CM8="","",[1]HPLC!CM8)</f>
        <v>0</v>
      </c>
      <c r="O5" s="6">
        <f>IF([1]HPLC!CN8="","",[1]HPLC!CN8)</f>
        <v>26.65704360026</v>
      </c>
      <c r="P5" s="6">
        <f>IF([1]HPLC!CO8="","",[1]HPLC!CO8)</f>
        <v>60</v>
      </c>
      <c r="Q5" s="6">
        <f>IF([1]HPLC!CP8="","",[1]HPLC!CP8)</f>
        <v>0.44428406000433335</v>
      </c>
      <c r="R5" s="6">
        <f>IF([1]HPLC!CQ8="","",[1]HPLC!CQ8)</f>
        <v>98.80995341070269</v>
      </c>
      <c r="S5" s="6">
        <f>IF([1]HPLC!CR8="","",[1]HPLC!CR8)</f>
        <v>97.321428571428569</v>
      </c>
      <c r="T5" s="5">
        <f>IF([1]氣體產量!AC8="","",[1]氣體產量!AC8)</f>
        <v>0.67110432456485114</v>
      </c>
      <c r="U5" s="3">
        <f>IF('[1]GC-TCD'!BU8="","",'[1]GC-TCD'!BU8)</f>
        <v>0</v>
      </c>
      <c r="V5" s="6">
        <f>IF('[1]GC-TCD'!BV8="","",'[1]GC-TCD'!BV8)</f>
        <v>16.842282994262781</v>
      </c>
      <c r="W5" s="6">
        <f>IF('[1]GC-TCD'!BW8="","",'[1]GC-TCD'!BW8)</f>
        <v>57.79111301232642</v>
      </c>
      <c r="X5" s="6">
        <f>IF('[1]GC-TCD'!BX8="","",'[1]GC-TCD'!BX8)</f>
        <v>25.366603993410791</v>
      </c>
      <c r="Y5">
        <v>278.21699999999998</v>
      </c>
      <c r="Z5" s="6">
        <f>IF([1]SS!AB8="","",[1]SS!AB8)</f>
        <v>9499.9999999995071</v>
      </c>
      <c r="AA5" s="6">
        <f>IF([1]SS!AG8="","",[1]SS!AG8)</f>
        <v>160.00000000000458</v>
      </c>
      <c r="AB5" s="6">
        <f>IF([1]流量!AF8="","",[1]流量!AF8)</f>
        <v>2.0499108734299094</v>
      </c>
      <c r="AC5" s="6">
        <f>IF([1]流量!AN8="","",[1]流量!AN8)</f>
        <v>1.1268635097513133</v>
      </c>
      <c r="AD5" s="4">
        <f>IF([1]氣體產量!AH8="","",[1]氣體產量!AH8)</f>
        <v>0.38783865863988304</v>
      </c>
      <c r="AE5" s="4">
        <f>IF([1]methane_yield!W8="","",[1]methane_yield!W8)</f>
        <v>0.1001300273012619</v>
      </c>
      <c r="AF5" s="4">
        <f>IF([1]methane_yield!AA8="","",[1]methane_yield!AA8)</f>
        <v>9.9520154488064533E-2</v>
      </c>
    </row>
    <row r="6" spans="1:32">
      <c r="A6" s="1">
        <v>44840</v>
      </c>
      <c r="B6">
        <v>5</v>
      </c>
      <c r="C6" t="s">
        <v>32</v>
      </c>
      <c r="D6" s="6">
        <f>IF('[1]env-PLC'!S9="","",'[1]env-PLC'!S9)</f>
        <v>32.979999999999997</v>
      </c>
      <c r="E6" s="6">
        <f>IF('[1]env-PLC'!T9="","",'[1]env-PLC'!T9)</f>
        <v>6.47</v>
      </c>
      <c r="F6" s="6">
        <f>IF('[1]env-PLC'!U9="","",'[1]env-PLC'!U9)</f>
        <v>-438.57</v>
      </c>
      <c r="G6" s="6">
        <f>IF('[1]env-PLC'!V9="","",'[1]env-PLC'!V9)</f>
        <v>6.46</v>
      </c>
      <c r="H6" s="6">
        <f>IF([1]鹼度!L9="","",[1]鹼度!L9)</f>
        <v>1493.35</v>
      </c>
      <c r="I6" s="6">
        <f>IF([1]HPLC!CH9="","",[1]HPLC!CH9)</f>
        <v>1.1841289490000002</v>
      </c>
      <c r="J6" s="6">
        <f>IF([1]HPLC!CI9="","",[1]HPLC!CI9)</f>
        <v>29.533424760000003</v>
      </c>
      <c r="K6" s="6">
        <f>IF([1]HPLC!CJ9="","",[1]HPLC!CJ9)</f>
        <v>15.040929810000002</v>
      </c>
      <c r="L6" s="6">
        <f>IF([1]HPLC!CK9="","",[1]HPLC!CK9)</f>
        <v>2.1467585859999998</v>
      </c>
      <c r="M6" s="6">
        <f>IF([1]HPLC!CL9="","",[1]HPLC!CL9)</f>
        <v>0</v>
      </c>
      <c r="N6" s="6">
        <f>IF([1]HPLC!CM9="","",[1]HPLC!CM9)</f>
        <v>0</v>
      </c>
      <c r="O6" s="6">
        <f>IF([1]HPLC!CN9="","",[1]HPLC!CN9)</f>
        <v>58.634114264970002</v>
      </c>
      <c r="P6" s="6">
        <f>IF([1]HPLC!CO9="","",[1]HPLC!CO9)</f>
        <v>80</v>
      </c>
      <c r="Q6" s="6">
        <f>IF([1]HPLC!CP9="","",[1]HPLC!CP9)</f>
        <v>0.73292642831212507</v>
      </c>
      <c r="R6" s="6">
        <f>IF([1]HPLC!CQ9="","",[1]HPLC!CQ9)</f>
        <v>97.382405613170988</v>
      </c>
      <c r="S6" s="6">
        <f>IF([1]HPLC!CR9="","",[1]HPLC!CR9)</f>
        <v>96.428571428571431</v>
      </c>
      <c r="T6" s="5">
        <f>IF([1]氣體產量!AC9="","",[1]氣體產量!AC9)</f>
        <v>0.6814359166458922</v>
      </c>
      <c r="U6" s="3">
        <f>IF('[1]GC-TCD'!BU9="","",'[1]GC-TCD'!BU9)</f>
        <v>0</v>
      </c>
      <c r="V6" s="6">
        <f>IF('[1]GC-TCD'!BV9="","",'[1]GC-TCD'!BV9)</f>
        <v>18.336825376298645</v>
      </c>
      <c r="W6" s="6">
        <f>IF('[1]GC-TCD'!BW9="","",'[1]GC-TCD'!BW9)</f>
        <v>57.388033369713106</v>
      </c>
      <c r="X6" s="6">
        <f>IF('[1]GC-TCD'!BX9="","",'[1]GC-TCD'!BX9)</f>
        <v>24.275141253988245</v>
      </c>
      <c r="Y6">
        <v>288.29199999999997</v>
      </c>
      <c r="Z6" s="6">
        <f>IF([1]SS!AB9="","",[1]SS!AB9)</f>
        <v>12499.999999999734</v>
      </c>
      <c r="AA6" s="6">
        <f>IF([1]SS!AG9="","",[1]SS!AG9)</f>
        <v>136.6666666666664</v>
      </c>
      <c r="AB6" s="6">
        <f>IF([1]流量!AF9="","",[1]流量!AF9)</f>
        <v>2.0901476855961567</v>
      </c>
      <c r="AC6" s="6">
        <f>IF([1]流量!AN9="","",[1]流量!AN9)</f>
        <v>1.1055185694686829</v>
      </c>
      <c r="AD6" s="4">
        <f>IF([1]氣體產量!AH9="","",[1]氣體產量!AH9)</f>
        <v>0.39106267123795496</v>
      </c>
      <c r="AE6" s="4">
        <f>IF([1]methane_yield!W9="","",[1]methane_yield!W9)</f>
        <v>0.10244241235543455</v>
      </c>
      <c r="AF6" s="4">
        <f>IF([1]methane_yield!AA9="","",[1]methane_yield!AA9)</f>
        <v>0.10378432801289722</v>
      </c>
    </row>
    <row r="7" spans="1:32">
      <c r="A7" s="1">
        <v>44841</v>
      </c>
      <c r="B7">
        <v>6</v>
      </c>
      <c r="C7" t="s">
        <v>33</v>
      </c>
      <c r="D7" s="6">
        <f>IF('[1]env-PLC'!S10="","",'[1]env-PLC'!S10)</f>
        <v>33.08</v>
      </c>
      <c r="E7" s="6">
        <f>IF('[1]env-PLC'!T10="","",'[1]env-PLC'!T10)</f>
        <v>6.45</v>
      </c>
      <c r="F7" s="6">
        <f>IF('[1]env-PLC'!U10="","",'[1]env-PLC'!U10)</f>
        <v>-436.52</v>
      </c>
      <c r="G7" s="6">
        <f>IF('[1]env-PLC'!V10="","",'[1]env-PLC'!V10)</f>
        <v>6.79</v>
      </c>
      <c r="H7" s="6">
        <f>IF([1]鹼度!L10="","",[1]鹼度!L10)</f>
        <v>1537.65</v>
      </c>
      <c r="I7" s="6">
        <f>IF([1]HPLC!CH10="","",[1]HPLC!CH10)</f>
        <v>1.2722994380000001</v>
      </c>
      <c r="J7" s="6">
        <f>IF([1]HPLC!CI10="","",[1]HPLC!CI10)</f>
        <v>27.387049560000001</v>
      </c>
      <c r="K7" s="6">
        <f>IF([1]HPLC!CJ10="","",[1]HPLC!CJ10)</f>
        <v>11.845076344000001</v>
      </c>
      <c r="L7" s="6">
        <f>IF([1]HPLC!CK10="","",[1]HPLC!CK10)</f>
        <v>2.198137306</v>
      </c>
      <c r="M7" s="6">
        <f>IF([1]HPLC!CL10="","",[1]HPLC!CL10)</f>
        <v>0</v>
      </c>
      <c r="N7" s="6">
        <f>IF([1]HPLC!CM10="","",[1]HPLC!CM10)</f>
        <v>0</v>
      </c>
      <c r="O7" s="6">
        <f>IF([1]HPLC!CN10="","",[1]HPLC!CN10)</f>
        <v>51.636123008859997</v>
      </c>
      <c r="P7" s="6">
        <f>IF([1]HPLC!CO10="","",[1]HPLC!CO10)</f>
        <v>50</v>
      </c>
      <c r="Q7" s="6">
        <f>IF([1]HPLC!CP10="","",[1]HPLC!CP10)</f>
        <v>1.0327224601772</v>
      </c>
      <c r="R7" s="6">
        <f>IF([1]HPLC!CQ10="","",[1]HPLC!CQ10)</f>
        <v>97.694815937104465</v>
      </c>
      <c r="S7" s="6">
        <f>IF([1]HPLC!CR10="","",[1]HPLC!CR10)</f>
        <v>97.767857142857139</v>
      </c>
      <c r="T7" s="5">
        <f>IF([1]氣體產量!AC10="","",[1]氣體產量!AC10)</f>
        <v>0.69250083995466716</v>
      </c>
      <c r="U7" s="3">
        <f>IF('[1]GC-TCD'!BU10="","",'[1]GC-TCD'!BU10)</f>
        <v>0</v>
      </c>
      <c r="V7" s="6">
        <f>IF('[1]GC-TCD'!BV10="","",'[1]GC-TCD'!BV10)</f>
        <v>16.366781965143602</v>
      </c>
      <c r="W7" s="6">
        <f>IF('[1]GC-TCD'!BW10="","",'[1]GC-TCD'!BW10)</f>
        <v>57.740063068581549</v>
      </c>
      <c r="X7" s="6">
        <f>IF('[1]GC-TCD'!BX10="","",'[1]GC-TCD'!BX10)</f>
        <v>25.893154966274846</v>
      </c>
      <c r="Y7">
        <v>253.21100000000001</v>
      </c>
      <c r="Z7" s="6">
        <f>IF([1]SS!AB10="","",[1]SS!AB10)</f>
        <v>10999.999999999898</v>
      </c>
      <c r="AA7" s="6">
        <f>IF([1]SS!AG10="","",[1]SS!AG10)</f>
        <v>133.33333333333346</v>
      </c>
      <c r="AB7" s="6">
        <f>IF([1]流量!AF10="","",[1]流量!AF10)</f>
        <v>2.0655959752243143</v>
      </c>
      <c r="AC7" s="6">
        <f>IF([1]流量!AN10="","",[1]流量!AN10)</f>
        <v>1.1012511013153736</v>
      </c>
      <c r="AD7" s="4">
        <f>IF([1]氣體產量!AH10="","",[1]氣體產量!AH10)</f>
        <v>0.39985042174028179</v>
      </c>
      <c r="AE7" s="4">
        <f>IF([1]methane_yield!W10="","",[1]methane_yield!W10)</f>
        <v>0.10440948951977518</v>
      </c>
      <c r="AF7" s="4">
        <f>IF([1]methane_yield!AA10="","",[1]methane_yield!AA10)</f>
        <v>0.10618707043513739</v>
      </c>
    </row>
    <row r="8" spans="1:32">
      <c r="A8" s="1">
        <v>44842</v>
      </c>
      <c r="B8">
        <v>7</v>
      </c>
      <c r="C8" t="s">
        <v>34</v>
      </c>
      <c r="D8" s="6">
        <f>IF('[1]env-PLC'!S11="","",'[1]env-PLC'!S11)</f>
        <v>33.01</v>
      </c>
      <c r="E8" s="6">
        <f>IF('[1]env-PLC'!T11="","",'[1]env-PLC'!T11)</f>
        <v>6.41</v>
      </c>
      <c r="F8" s="6">
        <f>IF('[1]env-PLC'!U11="","",'[1]env-PLC'!U11)</f>
        <v>-433.9</v>
      </c>
      <c r="G8" s="6">
        <f>IF('[1]env-PLC'!V11="","",'[1]env-PLC'!V11)</f>
        <v>7.88</v>
      </c>
      <c r="H8" s="6">
        <f>IF([1]鹼度!L11="","",[1]鹼度!L11)</f>
        <v>1515.6</v>
      </c>
      <c r="I8" s="6">
        <f>IF([1]HPLC!CH11="","",[1]HPLC!CH11)</f>
        <v>1.3309037749999999</v>
      </c>
      <c r="J8" s="6">
        <f>IF([1]HPLC!CI11="","",[1]HPLC!CI11)</f>
        <v>33.547344359999997</v>
      </c>
      <c r="K8" s="6">
        <f>IF([1]HPLC!CJ11="","",[1]HPLC!CJ11)</f>
        <v>15.858468194000002</v>
      </c>
      <c r="L8" s="6">
        <f>IF([1]HPLC!CK11="","",[1]HPLC!CK11)</f>
        <v>0</v>
      </c>
      <c r="M8" s="6">
        <f>IF([1]HPLC!CL11="","",[1]HPLC!CL11)</f>
        <v>0</v>
      </c>
      <c r="N8" s="6">
        <f>IF([1]HPLC!CM11="","",[1]HPLC!CM11)</f>
        <v>0.6913616816</v>
      </c>
      <c r="O8" s="6">
        <f>IF([1]HPLC!CN11="","",[1]HPLC!CN11)</f>
        <v>61.718139589854005</v>
      </c>
      <c r="P8" s="6">
        <f>IF([1]HPLC!CO11="","",[1]HPLC!CO11)</f>
        <v>120</v>
      </c>
      <c r="Q8" s="6">
        <f>IF([1]HPLC!CP11="","",[1]HPLC!CP11)</f>
        <v>0.51431782991545005</v>
      </c>
      <c r="R8" s="6">
        <f>IF([1]HPLC!CQ11="","",[1]HPLC!CQ11)</f>
        <v>97.244725911167222</v>
      </c>
      <c r="S8" s="6">
        <f>IF([1]HPLC!CR11="","",[1]HPLC!CR11)</f>
        <v>94.642857142857139</v>
      </c>
      <c r="T8" s="5">
        <f>IF([1]氣體產量!AC11="","",[1]氣體產量!AC11)</f>
        <v>0.60963661373391176</v>
      </c>
      <c r="U8" s="3">
        <f>IF('[1]GC-TCD'!BU11="","",'[1]GC-TCD'!BU11)</f>
        <v>0</v>
      </c>
      <c r="V8" s="6">
        <f>IF('[1]GC-TCD'!BV11="","",'[1]GC-TCD'!BV11)</f>
        <v>17.592344635825782</v>
      </c>
      <c r="W8" s="6">
        <f>IF('[1]GC-TCD'!BW11="","",'[1]GC-TCD'!BW11)</f>
        <v>58.235894574022915</v>
      </c>
      <c r="X8" s="6">
        <f>IF('[1]GC-TCD'!BX11="","",'[1]GC-TCD'!BX11)</f>
        <v>24.171760790151311</v>
      </c>
      <c r="Y8">
        <v>242.67099999999999</v>
      </c>
      <c r="Z8" s="6">
        <f>IF([1]SS!AB11="","",[1]SS!AB11)</f>
        <v>20500.000000000517</v>
      </c>
      <c r="AA8" s="6">
        <f>IF([1]SS!AG11="","",[1]SS!AG11)</f>
        <v>160.00000000000014</v>
      </c>
      <c r="AB8" s="6">
        <f>IF([1]流量!AF11="","",[1]流量!AF11)</f>
        <v>2.0571983273565753</v>
      </c>
      <c r="AC8" s="6">
        <f>IF([1]流量!AN11="","",[1]流量!AN11)</f>
        <v>1.1909565217408529</v>
      </c>
      <c r="AD8" s="4">
        <f>IF([1]氣體產量!AH11="","",[1]氣體產量!AH11)</f>
        <v>0.35502733565872419</v>
      </c>
      <c r="AE8" s="4">
        <f>IF([1]methane_yield!W11="","",[1]methane_yield!W11)</f>
        <v>9.3134303195894955E-2</v>
      </c>
      <c r="AF8" s="4">
        <f>IF([1]methane_yield!AA11="","",[1]methane_yield!AA11)</f>
        <v>8.7585413636199788E-2</v>
      </c>
    </row>
    <row r="9" spans="1:32">
      <c r="A9" s="1">
        <v>44843</v>
      </c>
      <c r="B9">
        <v>8</v>
      </c>
      <c r="C9" t="s">
        <v>35</v>
      </c>
      <c r="D9" s="6">
        <f>IF('[1]env-PLC'!S12="","",'[1]env-PLC'!S12)</f>
        <v>33.14</v>
      </c>
      <c r="E9" s="6">
        <f>IF('[1]env-PLC'!T12="","",'[1]env-PLC'!T12)</f>
        <v>6.4</v>
      </c>
      <c r="F9" s="6">
        <f>IF('[1]env-PLC'!U12="","",'[1]env-PLC'!U12)</f>
        <v>-436.14</v>
      </c>
      <c r="G9" s="6">
        <f>IF('[1]env-PLC'!V12="","",'[1]env-PLC'!V12)</f>
        <v>8.5399999999999991</v>
      </c>
      <c r="H9" s="6">
        <f>IF([1]鹼度!L12="","",[1]鹼度!L12)</f>
        <v>1470.2500000000002</v>
      </c>
      <c r="I9" s="6">
        <f>IF([1]HPLC!CH12="","",[1]HPLC!CH12)</f>
        <v>1.4055391099999999</v>
      </c>
      <c r="J9" s="6">
        <f>IF([1]HPLC!CI12="","",[1]HPLC!CI12)</f>
        <v>49.846804799999994</v>
      </c>
      <c r="K9" s="6">
        <f>IF([1]HPLC!CJ12="","",[1]HPLC!CJ12)</f>
        <v>29.026231842000001</v>
      </c>
      <c r="L9" s="6">
        <f>IF([1]HPLC!CK12="","",[1]HPLC!CK12)</f>
        <v>1.9531951639999998</v>
      </c>
      <c r="M9" s="6">
        <f>IF([1]HPLC!CL12="","",[1]HPLC!CL12)</f>
        <v>0</v>
      </c>
      <c r="N9" s="6">
        <f>IF([1]HPLC!CM12="","",[1]HPLC!CM12)</f>
        <v>0</v>
      </c>
      <c r="O9" s="6">
        <f>IF([1]HPLC!CN12="","",[1]HPLC!CN12)</f>
        <v>101.2124451044</v>
      </c>
      <c r="P9" s="6">
        <f>IF([1]HPLC!CO12="","",[1]HPLC!CO12)</f>
        <v>160</v>
      </c>
      <c r="Q9" s="6">
        <f>IF([1]HPLC!CP12="","",[1]HPLC!CP12)</f>
        <v>0.63257778190250002</v>
      </c>
      <c r="R9" s="6">
        <f>IF([1]HPLC!CQ12="","",[1]HPLC!CQ12)</f>
        <v>95.481587272124983</v>
      </c>
      <c r="S9" s="6">
        <f>IF([1]HPLC!CR12="","",[1]HPLC!CR12)</f>
        <v>92.857142857142861</v>
      </c>
      <c r="T9" s="5">
        <f>IF([1]氣體產量!AC12="","",[1]氣體產量!AC12)</f>
        <v>0.6137152607515689</v>
      </c>
      <c r="U9" s="3">
        <f>IF('[1]GC-TCD'!BU12="","",'[1]GC-TCD'!BU12)</f>
        <v>0</v>
      </c>
      <c r="V9" s="6">
        <f>IF('[1]GC-TCD'!BV12="","",'[1]GC-TCD'!BV12)</f>
        <v>18.741157901751603</v>
      </c>
      <c r="W9" s="6">
        <f>IF('[1]GC-TCD'!BW12="","",'[1]GC-TCD'!BW12)</f>
        <v>57.482600941970354</v>
      </c>
      <c r="X9" s="6">
        <f>IF('[1]GC-TCD'!BX12="","",'[1]GC-TCD'!BX12)</f>
        <v>23.776241156278051</v>
      </c>
      <c r="Y9">
        <v>147.161</v>
      </c>
      <c r="Z9" s="6">
        <f>IF([1]SS!AB12="","",[1]SS!AB12)</f>
        <v>6499.999999999839</v>
      </c>
      <c r="AA9" s="6">
        <f>IF([1]SS!AG12="","",[1]SS!AG12)</f>
        <v>111.99999999999655</v>
      </c>
      <c r="AB9" s="6">
        <f>IF([1]流量!AF12="","",[1]流量!AF12)</f>
        <v>2.0202020201904993</v>
      </c>
      <c r="AC9" s="6">
        <f>IF([1]流量!AN12="","",[1]流量!AN12)</f>
        <v>1.0412307692309357</v>
      </c>
      <c r="AD9" s="4">
        <f>IF([1]氣體產量!AH12="","",[1]氣體產量!AH12)</f>
        <v>0.35277949425779714</v>
      </c>
      <c r="AE9" s="4">
        <f>IF([1]methane_yield!W12="","",[1]methane_yield!W12)</f>
        <v>9.4253532554740838E-2</v>
      </c>
      <c r="AF9" s="4">
        <f>IF([1]methane_yield!AA12="","",[1]methane_yield!AA12)</f>
        <v>0.10138382343357027</v>
      </c>
    </row>
    <row r="10" spans="1:32">
      <c r="A10" s="1">
        <v>44844</v>
      </c>
      <c r="B10">
        <v>9</v>
      </c>
      <c r="C10" t="s">
        <v>36</v>
      </c>
      <c r="D10" s="6">
        <f>IF('[1]env-PLC'!S13="","",'[1]env-PLC'!S13)</f>
        <v>33.063999999999986</v>
      </c>
      <c r="E10" s="6">
        <f>IF('[1]env-PLC'!T13="","",'[1]env-PLC'!T13)</f>
        <v>6.4067999999999961</v>
      </c>
      <c r="F10" s="6">
        <f>IF('[1]env-PLC'!U13="","",'[1]env-PLC'!U13)</f>
        <v>-436.08</v>
      </c>
      <c r="G10" s="6">
        <f>IF('[1]env-PLC'!V13="","",'[1]env-PLC'!V13)</f>
        <v>9.1300000000000008</v>
      </c>
      <c r="H10" s="6">
        <f>IF([1]鹼度!L13="","",[1]鹼度!L13)</f>
        <v>1488.05</v>
      </c>
      <c r="I10" s="6">
        <f>IF([1]HPLC!CH13="","",[1]HPLC!CH13)</f>
        <v>0</v>
      </c>
      <c r="J10" s="6">
        <f>IF([1]HPLC!CI13="","",[1]HPLC!CI13)</f>
        <v>82.739229480000006</v>
      </c>
      <c r="K10" s="6">
        <f>IF([1]HPLC!CJ13="","",[1]HPLC!CJ13)</f>
        <v>64.678732024000013</v>
      </c>
      <c r="L10" s="6">
        <f>IF([1]HPLC!CK13="","",[1]HPLC!CK13)</f>
        <v>6.8497495839999996</v>
      </c>
      <c r="M10" s="6">
        <f>IF([1]HPLC!CL13="","",[1]HPLC!CL13)</f>
        <v>0</v>
      </c>
      <c r="N10" s="6">
        <f>IF([1]HPLC!CM13="","",[1]HPLC!CM13)</f>
        <v>3.1479720639999997</v>
      </c>
      <c r="O10" s="6">
        <f>IF([1]HPLC!CN13="","",[1]HPLC!CN13)</f>
        <v>205.08426815328002</v>
      </c>
      <c r="P10" s="6">
        <f>IF([1]HPLC!CO13="","",[1]HPLC!CO13)</f>
        <v>350</v>
      </c>
      <c r="Q10" s="6">
        <f>IF([1]HPLC!CP13="","",[1]HPLC!CP13)</f>
        <v>0.58595505186651431</v>
      </c>
      <c r="R10" s="6">
        <f>IF([1]HPLC!CQ13="","",[1]HPLC!CQ13)</f>
        <v>90.844452314585723</v>
      </c>
      <c r="S10" s="6">
        <f>IF([1]HPLC!CR13="","",[1]HPLC!CR13)</f>
        <v>84.375</v>
      </c>
      <c r="T10" s="5">
        <f>IF([1]氣體產量!AC13="","",[1]氣體產量!AC13)</f>
        <v>0.49592767691701317</v>
      </c>
      <c r="U10" s="3">
        <f>IF('[1]GC-TCD'!BU13="","",'[1]GC-TCD'!BU13)</f>
        <v>0</v>
      </c>
      <c r="V10" s="6">
        <f>IF('[1]GC-TCD'!BV13="","",'[1]GC-TCD'!BV13)</f>
        <v>28.323642101623157</v>
      </c>
      <c r="W10" s="6">
        <f>IF('[1]GC-TCD'!BW13="","",'[1]GC-TCD'!BW13)</f>
        <v>52.497831744472364</v>
      </c>
      <c r="X10" s="6">
        <f>IF('[1]GC-TCD'!BX13="","",'[1]GC-TCD'!BX13)</f>
        <v>19.178526153904453</v>
      </c>
      <c r="Y10">
        <v>171.946</v>
      </c>
      <c r="Z10" s="6">
        <f>IF([1]SS!AB13="","",[1]SS!AB13)</f>
        <v>6249.9999999998672</v>
      </c>
      <c r="AA10" s="6">
        <f>IF([1]SS!AG13="","",[1]SS!AG13)</f>
        <v>96.666666666667126</v>
      </c>
      <c r="AB10" s="6">
        <f>IF([1]流量!AF13="","",[1]流量!AF13)</f>
        <v>2.1784727088849039</v>
      </c>
      <c r="AC10" s="6">
        <f>IF([1]流量!AN13="","",[1]流量!AN13)</f>
        <v>1.1299193655012691</v>
      </c>
      <c r="AD10" s="4">
        <f>IF([1]氣體產量!AH13="","",[1]氣體產量!AH13)</f>
        <v>0.26035127740216413</v>
      </c>
      <c r="AE10" s="4">
        <f>IF([1]methane_yield!W13="","",[1]methane_yield!W13)</f>
        <v>7.310973923254753E-2</v>
      </c>
      <c r="AF10" s="4">
        <f>IF([1]methane_yield!AA13="","",[1]methane_yield!AA13)</f>
        <v>7.2467921553081197E-2</v>
      </c>
    </row>
    <row r="11" spans="1:32">
      <c r="A11" s="1">
        <v>44845</v>
      </c>
      <c r="B11">
        <v>10</v>
      </c>
      <c r="C11" t="s">
        <v>37</v>
      </c>
      <c r="D11" s="6">
        <f>IF('[1]env-PLC'!S14="","",'[1]env-PLC'!S14)</f>
        <v>33.404545454545442</v>
      </c>
      <c r="E11" s="6">
        <f>IF('[1]env-PLC'!T14="","",'[1]env-PLC'!T14)</f>
        <v>6.39</v>
      </c>
      <c r="F11" s="6">
        <f>IF('[1]env-PLC'!U14="","",'[1]env-PLC'!U14)</f>
        <v>-411.68181818181819</v>
      </c>
      <c r="G11" s="6">
        <f>IF('[1]env-PLC'!V14="","",'[1]env-PLC'!V14)</f>
        <v>9.4600000000000009</v>
      </c>
      <c r="H11" s="6">
        <f>IF([1]鹼度!L14="","",[1]鹼度!L14)</f>
        <v>1458.15</v>
      </c>
      <c r="I11" s="6">
        <f>IF([1]HPLC!CH14="","",[1]HPLC!CH14)</f>
        <v>0.70389763199999988</v>
      </c>
      <c r="J11" s="6">
        <f>IF([1]HPLC!CI14="","",[1]HPLC!CI14)</f>
        <v>114.07930332000001</v>
      </c>
      <c r="K11" s="6">
        <f>IF([1]HPLC!CJ14="","",[1]HPLC!CJ14)</f>
        <v>87.537463854999999</v>
      </c>
      <c r="L11" s="6">
        <f>IF([1]HPLC!CK14="","",[1]HPLC!CK14)</f>
        <v>5.050800476</v>
      </c>
      <c r="M11" s="6">
        <f>IF([1]HPLC!CL14="","",[1]HPLC!CL14)</f>
        <v>1.5864197039999999</v>
      </c>
      <c r="N11" s="6">
        <f>IF([1]HPLC!CM14="","",[1]HPLC!CM14)</f>
        <v>5.3745349840000003</v>
      </c>
      <c r="O11" s="6">
        <f>IF([1]HPLC!CN14="","",[1]HPLC!CN14)</f>
        <v>277.53658123961009</v>
      </c>
      <c r="P11" s="6">
        <f>IF([1]HPLC!CO14="","",[1]HPLC!CO14)</f>
        <v>140</v>
      </c>
      <c r="Q11" s="6">
        <f>IF([1]HPLC!CP14="","",[1]HPLC!CP14)</f>
        <v>1.9824041517115005</v>
      </c>
      <c r="R11" s="6">
        <f>IF([1]HPLC!CQ14="","",[1]HPLC!CQ14)</f>
        <v>87.609974051803121</v>
      </c>
      <c r="S11" s="6">
        <f>IF([1]HPLC!CR14="","",[1]HPLC!CR14)</f>
        <v>93.75</v>
      </c>
      <c r="T11" s="5">
        <f>IF([1]氣體產量!AC14="","",[1]氣體產量!AC14)</f>
        <v>0.38779162652805954</v>
      </c>
      <c r="U11" s="3">
        <f>IF('[1]GC-TCD'!BU14="","",'[1]GC-TCD'!BU14)</f>
        <v>0</v>
      </c>
      <c r="V11" s="6">
        <f>IF('[1]GC-TCD'!BV14="","",'[1]GC-TCD'!BV14)</f>
        <v>20.986690020627783</v>
      </c>
      <c r="W11" s="6">
        <f>IF('[1]GC-TCD'!BW14="","",'[1]GC-TCD'!BW14)</f>
        <v>54.492748623461004</v>
      </c>
      <c r="X11" s="6">
        <f>IF('[1]GC-TCD'!BX14="","",'[1]GC-TCD'!BX14)</f>
        <v>24.520561355911205</v>
      </c>
      <c r="Y11">
        <v>175.91</v>
      </c>
      <c r="Z11" s="6">
        <f>IF([1]SS!AB14="","",[1]SS!AB14)</f>
        <v>14000.000000000122</v>
      </c>
      <c r="AA11" s="6">
        <f>IF([1]SS!AG14="","",[1]SS!AG14)</f>
        <v>116.66666666666492</v>
      </c>
      <c r="AB11" s="6">
        <f>IF([1]流量!AF14="","",[1]流量!AF14)</f>
        <v>2.0954810495626819</v>
      </c>
      <c r="AC11" s="6">
        <f>IF([1]流量!AN14="","",[1]流量!AN14)</f>
        <v>1.0912820512836801</v>
      </c>
      <c r="AD11" s="4">
        <f>IF([1]氣體產量!AH14="","",[1]氣體產量!AH14)</f>
        <v>0.21131831622676622</v>
      </c>
      <c r="AE11" s="4">
        <f>IF([1]methane_yield!W14="","",[1]methane_yield!W14)</f>
        <v>6.1531502907925383E-2</v>
      </c>
      <c r="AF11" s="4">
        <f>IF([1]methane_yield!AA14="","",[1]methane_yield!AA14)</f>
        <v>6.3150752984355477E-2</v>
      </c>
    </row>
    <row r="12" spans="1:32">
      <c r="A12" s="1">
        <v>44846</v>
      </c>
      <c r="B12">
        <v>11</v>
      </c>
      <c r="C12" t="s">
        <v>38</v>
      </c>
      <c r="D12" s="6">
        <f>IF('[1]env-PLC'!S15="","",'[1]env-PLC'!S15)</f>
        <v>33.068000000000005</v>
      </c>
      <c r="E12" s="6">
        <f>IF('[1]env-PLC'!T15="","",'[1]env-PLC'!T15)</f>
        <v>6.3979999999999997</v>
      </c>
      <c r="F12" s="6">
        <f>IF('[1]env-PLC'!U15="","",'[1]env-PLC'!U15)</f>
        <v>-423.8</v>
      </c>
      <c r="G12" s="6">
        <f>IF('[1]env-PLC'!V15="","",'[1]env-PLC'!V15)</f>
        <v>9.89</v>
      </c>
      <c r="H12" s="6">
        <f>IF([1]鹼度!L15="","",[1]鹼度!L15)</f>
        <v>1469.3</v>
      </c>
      <c r="I12" s="6">
        <f>IF([1]HPLC!CH15="","",[1]HPLC!CH15)</f>
        <v>1.7578957530000001</v>
      </c>
      <c r="J12" s="6">
        <f>IF([1]HPLC!CI15="","",[1]HPLC!CI15)</f>
        <v>95.680473840000005</v>
      </c>
      <c r="K12" s="6">
        <f>IF([1]HPLC!CJ15="","",[1]HPLC!CJ15)</f>
        <v>76.563763910000006</v>
      </c>
      <c r="L12" s="6">
        <f>IF([1]HPLC!CK15="","",[1]HPLC!CK15)</f>
        <v>4.1673448619999993</v>
      </c>
      <c r="M12" s="6">
        <f>IF([1]HPLC!CL15="","",[1]HPLC!CL15)</f>
        <v>0</v>
      </c>
      <c r="N12" s="6">
        <f>IF([1]HPLC!CM15="","",[1]HPLC!CM15)</f>
        <v>5.0622218959999996</v>
      </c>
      <c r="O12" s="6">
        <f>IF([1]HPLC!CN15="","",[1]HPLC!CN15)</f>
        <v>236.51615434313001</v>
      </c>
      <c r="P12" s="6">
        <f>IF([1]HPLC!CO15="","",[1]HPLC!CO15)</f>
        <v>310</v>
      </c>
      <c r="Q12" s="6">
        <f>IF([1]HPLC!CP15="","",[1]HPLC!CP15)</f>
        <v>0.76295533659074199</v>
      </c>
      <c r="R12" s="6">
        <f>IF([1]HPLC!CQ15="","",[1]HPLC!CQ15)</f>
        <v>89.441243109681707</v>
      </c>
      <c r="S12" s="6">
        <f>IF([1]HPLC!CR15="","",[1]HPLC!CR15)</f>
        <v>86.160714285714292</v>
      </c>
      <c r="T12" s="5">
        <f>IF([1]氣體產量!AC15="","",[1]氣體產量!AC15)</f>
        <v>0.57353105700206963</v>
      </c>
      <c r="U12" s="3">
        <f>IF('[1]GC-TCD'!BU15="","",'[1]GC-TCD'!BU15)</f>
        <v>0</v>
      </c>
      <c r="V12" s="6">
        <f>IF('[1]GC-TCD'!BV15="","",'[1]GC-TCD'!BV15)</f>
        <v>17.731094871326867</v>
      </c>
      <c r="W12" s="6">
        <f>IF('[1]GC-TCD'!BW15="","",'[1]GC-TCD'!BW15)</f>
        <v>56.98676963203846</v>
      </c>
      <c r="X12" s="6">
        <f>IF('[1]GC-TCD'!BX15="","",'[1]GC-TCD'!BX15)</f>
        <v>25.282135496634677</v>
      </c>
      <c r="Y12">
        <v>190.41900000000001</v>
      </c>
      <c r="Z12" s="6">
        <f>IF([1]SS!AB15="","",[1]SS!AB15)</f>
        <v>15999.999999999902</v>
      </c>
      <c r="AA12" s="6">
        <f>IF([1]SS!AG15="","",[1]SS!AG15)</f>
        <v>151.66666666666848</v>
      </c>
      <c r="AB12" s="6">
        <f>IF([1]流量!AF15="","",[1]流量!AF15)</f>
        <v>2.1128608923978089</v>
      </c>
      <c r="AC12" s="6">
        <f>IF([1]流量!AN15="","",[1]流量!AN15)</f>
        <v>1.0969316650709178</v>
      </c>
      <c r="AD12" s="4">
        <f>IF([1]氣體產量!AH15="","",[1]氣體產量!AH15)</f>
        <v>0.32683682222196458</v>
      </c>
      <c r="AE12" s="4">
        <f>IF([1]methane_yield!W15="","",[1]methane_yield!W15)</f>
        <v>9.3219567912871296E-2</v>
      </c>
      <c r="AF12" s="4">
        <f>IF([1]methane_yield!AA15="","",[1]methane_yield!AA15)</f>
        <v>9.5179963699622006E-2</v>
      </c>
    </row>
    <row r="13" spans="1:32">
      <c r="A13" s="1">
        <v>44847</v>
      </c>
      <c r="B13">
        <v>12</v>
      </c>
      <c r="C13" t="s">
        <v>39</v>
      </c>
      <c r="D13" s="6">
        <f>IF('[1]env-PLC'!S16="","",'[1]env-PLC'!S16)</f>
        <v>33.908695652173918</v>
      </c>
      <c r="E13" s="6">
        <f>IF('[1]env-PLC'!T16="","",'[1]env-PLC'!T16)</f>
        <v>6.3908695652173906</v>
      </c>
      <c r="F13" s="6">
        <f>IF('[1]env-PLC'!U16="","",'[1]env-PLC'!U16)</f>
        <v>-429.04347826086956</v>
      </c>
      <c r="G13" s="6">
        <f>IF('[1]env-PLC'!V16="","",'[1]env-PLC'!V16)</f>
        <v>10.98</v>
      </c>
      <c r="H13" s="6">
        <f>IF([1]鹼度!L16="","",[1]鹼度!L16)</f>
        <v>1454</v>
      </c>
      <c r="I13" s="6">
        <f>IF([1]HPLC!CH16="","",[1]HPLC!CH16)</f>
        <v>1.9116088119999999</v>
      </c>
      <c r="J13" s="6">
        <f>IF([1]HPLC!CI16="","",[1]HPLC!CI16)</f>
        <v>79.737808200000003</v>
      </c>
      <c r="K13" s="6">
        <f>IF([1]HPLC!CJ16="","",[1]HPLC!CJ16)</f>
        <v>63.596820647999998</v>
      </c>
      <c r="L13" s="6">
        <f>IF([1]HPLC!CK16="","",[1]HPLC!CK16)</f>
        <v>3.3640503860000002</v>
      </c>
      <c r="M13" s="6">
        <f>IF([1]HPLC!CL16="","",[1]HPLC!CL16)</f>
        <v>0</v>
      </c>
      <c r="N13" s="6">
        <f>IF([1]HPLC!CM16="","",[1]HPLC!CM16)</f>
        <v>4.4853837040000002</v>
      </c>
      <c r="O13" s="6">
        <f>IF([1]HPLC!CN16="","",[1]HPLC!CN16)</f>
        <v>197.29247149535999</v>
      </c>
      <c r="P13" s="6">
        <f>IF([1]HPLC!CO16="","",[1]HPLC!CO16)</f>
        <v>250</v>
      </c>
      <c r="Q13" s="6">
        <f>IF([1]HPLC!CP16="","",[1]HPLC!CP16)</f>
        <v>0.78916988598144</v>
      </c>
      <c r="R13" s="6">
        <f>IF([1]HPLC!CQ16="","",[1]HPLC!CQ16)</f>
        <v>91.192300379671437</v>
      </c>
      <c r="S13" s="6">
        <f>IF([1]HPLC!CR16="","",[1]HPLC!CR16)</f>
        <v>88.839285714285708</v>
      </c>
      <c r="T13" s="5">
        <f>IF([1]氣體產量!AC16="","",[1]氣體產量!AC16)</f>
        <v>0.64599305797388451</v>
      </c>
      <c r="U13" s="3">
        <f>IF('[1]GC-TCD'!BU16="","",'[1]GC-TCD'!BU16)</f>
        <v>0</v>
      </c>
      <c r="V13" s="6">
        <f>IF('[1]GC-TCD'!BV16="","",'[1]GC-TCD'!BV16)</f>
        <v>17.779846277433773</v>
      </c>
      <c r="W13" s="6">
        <f>IF('[1]GC-TCD'!BW16="","",'[1]GC-TCD'!BW16)</f>
        <v>57.218200505720397</v>
      </c>
      <c r="X13" s="6">
        <f>IF('[1]GC-TCD'!BX16="","",'[1]GC-TCD'!BX16)</f>
        <v>25.001953216845841</v>
      </c>
      <c r="Y13">
        <v>198.209</v>
      </c>
      <c r="Z13" s="6">
        <f>IF([1]SS!AB16="","",[1]SS!AB16)</f>
        <v>13749.999999999594</v>
      </c>
      <c r="AA13" s="6">
        <f>IF([1]SS!AG16="","",[1]SS!AG16)</f>
        <v>134.99999999999991</v>
      </c>
      <c r="AB13" s="6">
        <f>IF([1]流量!AF16="","",[1]流量!AF16)</f>
        <v>2.0984557358499134</v>
      </c>
      <c r="AC13" s="6">
        <f>IF([1]流量!AN16="","",[1]流量!AN16)</f>
        <v>1.1195140997808186</v>
      </c>
      <c r="AD13" s="4">
        <f>IF([1]氣體產量!AH16="","",[1]氣體產量!AH16)</f>
        <v>0.36962560316453186</v>
      </c>
      <c r="AE13" s="4">
        <f>IF([1]methane_yield!W16="","",[1]methane_yield!W16)</f>
        <v>0.10339934984934025</v>
      </c>
      <c r="AF13" s="4">
        <f>IF([1]methane_yield!AA16="","",[1]methane_yield!AA16)</f>
        <v>0.10344422803958803</v>
      </c>
    </row>
    <row r="14" spans="1:32">
      <c r="A14" s="1">
        <v>44848</v>
      </c>
      <c r="B14">
        <v>13</v>
      </c>
      <c r="C14" t="s">
        <v>40</v>
      </c>
      <c r="D14" s="6">
        <f>IF('[1]env-PLC'!S17="","",'[1]env-PLC'!S17)</f>
        <v>33.255555555555553</v>
      </c>
      <c r="E14" s="6">
        <f>IF('[1]env-PLC'!T17="","",'[1]env-PLC'!T17)</f>
        <v>6.3800000000000008</v>
      </c>
      <c r="F14" s="6">
        <f>IF('[1]env-PLC'!U17="","",'[1]env-PLC'!U17)</f>
        <v>-429.38888888888891</v>
      </c>
      <c r="G14" s="6">
        <f>IF('[1]env-PLC'!V17="","",'[1]env-PLC'!V17)</f>
        <v>11.78</v>
      </c>
      <c r="H14" s="6">
        <f>IF([1]鹼度!L17="","",[1]鹼度!L17)</f>
        <v>1466.6000000000001</v>
      </c>
      <c r="I14" s="6">
        <f>IF([1]HPLC!CH17="","",[1]HPLC!CH17)</f>
        <v>2.0673430779999999</v>
      </c>
      <c r="J14" s="6">
        <f>IF([1]HPLC!CI17="","",[1]HPLC!CI17)</f>
        <v>67.385481119999994</v>
      </c>
      <c r="K14" s="6">
        <f>IF([1]HPLC!CJ17="","",[1]HPLC!CJ17)</f>
        <v>47.512134953</v>
      </c>
      <c r="L14" s="6">
        <f>IF([1]HPLC!CK17="","",[1]HPLC!CK17)</f>
        <v>2.7253597459999996</v>
      </c>
      <c r="M14" s="6">
        <f>IF([1]HPLC!CL17="","",[1]HPLC!CL17)</f>
        <v>0</v>
      </c>
      <c r="N14" s="6">
        <f>IF([1]HPLC!CM17="","",[1]HPLC!CM17)</f>
        <v>3.3553934559999998</v>
      </c>
      <c r="O14" s="6">
        <f>IF([1]HPLC!CN17="","",[1]HPLC!CN17)</f>
        <v>156.37451604268998</v>
      </c>
      <c r="P14" s="6">
        <f>IF([1]HPLC!CO17="","",[1]HPLC!CO17)</f>
        <v>260</v>
      </c>
      <c r="Q14" s="6">
        <f>IF([1]HPLC!CP17="","",[1]HPLC!CP17)</f>
        <v>0.60144044631803839</v>
      </c>
      <c r="R14" s="6">
        <f>IF([1]HPLC!CQ17="","",[1]HPLC!CQ17)</f>
        <v>93.01899481952276</v>
      </c>
      <c r="S14" s="6">
        <f>IF([1]HPLC!CR17="","",[1]HPLC!CR17)</f>
        <v>88.392857142857139</v>
      </c>
      <c r="T14" s="5">
        <f>IF([1]氣體產量!AC17="","",[1]氣體產量!AC17)</f>
        <v>0.54557538944497441</v>
      </c>
      <c r="U14" s="3">
        <f>IF('[1]GC-TCD'!BU17="","",'[1]GC-TCD'!BU17)</f>
        <v>0</v>
      </c>
      <c r="V14" s="6">
        <f>IF('[1]GC-TCD'!BV17="","",'[1]GC-TCD'!BV17)</f>
        <v>17.767912470996659</v>
      </c>
      <c r="W14" s="6">
        <f>IF('[1]GC-TCD'!BW17="","",'[1]GC-TCD'!BW17)</f>
        <v>58.448785545937064</v>
      </c>
      <c r="X14" s="6">
        <f>IF('[1]GC-TCD'!BX17="","",'[1]GC-TCD'!BX17)</f>
        <v>23.783301983066281</v>
      </c>
      <c r="Y14">
        <v>178.27799999999999</v>
      </c>
      <c r="Z14" s="6">
        <f>IF([1]SS!AB17="","",[1]SS!AB17)</f>
        <v>14750.00000000004</v>
      </c>
      <c r="AA14" s="6">
        <f>IF([1]SS!AG17="","",[1]SS!AG17)</f>
        <v>120.00000000000159</v>
      </c>
      <c r="AB14" s="6">
        <f>IF([1]流量!AF17="","",[1]流量!AF17)</f>
        <v>2.1682653876879323</v>
      </c>
      <c r="AC14" s="6">
        <f>IF([1]流量!AN17="","",[1]流量!AN17)</f>
        <v>1.115704109587262</v>
      </c>
      <c r="AD14" s="4">
        <f>IF([1]氣體產量!AH17="","",[1]氣體產量!AH17)</f>
        <v>0.31888218936810403</v>
      </c>
      <c r="AE14" s="4">
        <f>IF([1]methane_yield!W17="","",[1]methane_yield!W17)</f>
        <v>8.7452565409477503E-2</v>
      </c>
      <c r="AF14" s="4">
        <f>IF([1]methane_yield!AA17="","",[1]methane_yield!AA17)</f>
        <v>8.7789291459048943E-2</v>
      </c>
    </row>
    <row r="15" spans="1:32">
      <c r="A15" s="1">
        <v>44849</v>
      </c>
      <c r="B15">
        <v>14</v>
      </c>
      <c r="C15" t="s">
        <v>41</v>
      </c>
      <c r="D15" s="6">
        <f>IF('[1]env-PLC'!S18="","",'[1]env-PLC'!S18)</f>
        <v>32.966666666666669</v>
      </c>
      <c r="E15" s="6">
        <f>IF('[1]env-PLC'!T18="","",'[1]env-PLC'!T18)</f>
        <v>6.3852380952380967</v>
      </c>
      <c r="F15" s="6">
        <f>IF('[1]env-PLC'!U18="","",'[1]env-PLC'!U18)</f>
        <v>-429.09523809523807</v>
      </c>
      <c r="G15" s="6">
        <f>IF('[1]env-PLC'!V18="","",'[1]env-PLC'!V18)</f>
        <v>12.12</v>
      </c>
      <c r="H15" s="6">
        <f>IF([1]鹼度!L18="","",[1]鹼度!L18)</f>
        <v>1456.2</v>
      </c>
      <c r="I15" s="6">
        <f>IF([1]HPLC!CH18="","",[1]HPLC!CH18)</f>
        <v>1.618896441</v>
      </c>
      <c r="J15" s="6">
        <f>IF([1]HPLC!CI18="","",[1]HPLC!CI18)</f>
        <v>73.481311080000012</v>
      </c>
      <c r="K15" s="6">
        <f>IF([1]HPLC!CJ18="","",[1]HPLC!CJ18)</f>
        <v>58.455127857999997</v>
      </c>
      <c r="L15" s="6">
        <f>IF([1]HPLC!CK18="","",[1]HPLC!CK18)</f>
        <v>2.86183078</v>
      </c>
      <c r="M15" s="6">
        <f>IF([1]HPLC!CL18="","",[1]HPLC!CL18)</f>
        <v>0</v>
      </c>
      <c r="N15" s="6">
        <f>IF([1]HPLC!CM18="","",[1]HPLC!CM18)</f>
        <v>1.2746604160000001</v>
      </c>
      <c r="O15" s="6">
        <f>IF([1]HPLC!CN18="","",[1]HPLC!CN18)</f>
        <v>175.26769894377</v>
      </c>
      <c r="P15" s="6">
        <f>IF([1]HPLC!CO18="","",[1]HPLC!CO18)</f>
        <v>180</v>
      </c>
      <c r="Q15" s="6">
        <f>IF([1]HPLC!CP18="","",[1]HPLC!CP18)</f>
        <v>0.97370943857650005</v>
      </c>
      <c r="R15" s="6">
        <f>IF([1]HPLC!CQ18="","",[1]HPLC!CQ18)</f>
        <v>92.175549154295979</v>
      </c>
      <c r="S15" s="6">
        <f>IF([1]HPLC!CR18="","",[1]HPLC!CR18)</f>
        <v>91.964285714285708</v>
      </c>
      <c r="T15" s="5">
        <f>IF([1]氣體產量!AC18="","",[1]氣體產量!AC18)</f>
        <v>0.51583466221841523</v>
      </c>
      <c r="U15" s="3">
        <f>IF('[1]GC-TCD'!BU18="","",'[1]GC-TCD'!BU18)</f>
        <v>0</v>
      </c>
      <c r="V15" s="6">
        <f>IF('[1]GC-TCD'!BV18="","",'[1]GC-TCD'!BV18)</f>
        <v>15.83034179389546</v>
      </c>
      <c r="W15" s="6">
        <f>IF('[1]GC-TCD'!BW18="","",'[1]GC-TCD'!BW18)</f>
        <v>59.861872188036379</v>
      </c>
      <c r="X15" s="6">
        <f>IF('[1]GC-TCD'!BX18="","",'[1]GC-TCD'!BX18)</f>
        <v>24.307786018068146</v>
      </c>
      <c r="Y15">
        <v>186.79900000000001</v>
      </c>
      <c r="Z15" s="6">
        <f>IF([1]SS!AB18="","",[1]SS!AB18)</f>
        <v>10749.999999999925</v>
      </c>
      <c r="AA15" s="6">
        <f>IF([1]SS!AG18="","",[1]SS!AG18)</f>
        <v>246.6666666666691</v>
      </c>
      <c r="AB15" s="6">
        <f>IF([1]流量!AF18="","",[1]流量!AF18)</f>
        <v>2.0846652175731371</v>
      </c>
      <c r="AC15" s="6">
        <f>IF([1]流量!AN18="","",[1]流量!AN18)</f>
        <v>1.2939369627476951</v>
      </c>
      <c r="AD15" s="4">
        <f>IF([1]氣體產量!AH18="","",[1]氣體產量!AH18)</f>
        <v>0.30878828619877691</v>
      </c>
      <c r="AE15" s="4">
        <f>IF([1]methane_yield!W18="","",[1]methane_yield!W18)</f>
        <v>8.5459238064992407E-2</v>
      </c>
      <c r="AF15" s="4">
        <f>IF([1]methane_yield!AA18="","",[1]methane_yield!AA18)</f>
        <v>7.397141390067459E-2</v>
      </c>
    </row>
    <row r="16" spans="1:32">
      <c r="A16" s="1">
        <v>44850</v>
      </c>
      <c r="B16">
        <v>15</v>
      </c>
      <c r="C16" t="s">
        <v>42</v>
      </c>
      <c r="D16" s="6">
        <f>IF('[1]env-PLC'!S19="","",'[1]env-PLC'!S19)</f>
        <v>32.991666666666681</v>
      </c>
      <c r="E16" s="6">
        <f>IF('[1]env-PLC'!T19="","",'[1]env-PLC'!T19)</f>
        <v>6.3720833333333324</v>
      </c>
      <c r="F16" s="6">
        <f>IF('[1]env-PLC'!U19="","",'[1]env-PLC'!U19)</f>
        <v>-431.875</v>
      </c>
      <c r="G16" s="6">
        <f>IF('[1]env-PLC'!V19="","",'[1]env-PLC'!V19)</f>
        <v>12.44</v>
      </c>
      <c r="H16" s="6">
        <f>IF([1]鹼度!L19="","",[1]鹼度!L19)</f>
        <v>1458.1</v>
      </c>
      <c r="I16" s="6">
        <f>IF([1]HPLC!CH19="","",[1]HPLC!CH19)</f>
        <v>1.187446075</v>
      </c>
      <c r="J16" s="6">
        <f>IF([1]HPLC!CI19="","",[1]HPLC!CI19)</f>
        <v>72.023174040000001</v>
      </c>
      <c r="K16" s="6">
        <f>IF([1]HPLC!CJ19="","",[1]HPLC!CJ19)</f>
        <v>58.924799346</v>
      </c>
      <c r="L16" s="6">
        <f>IF([1]HPLC!CK19="","",[1]HPLC!CK19)</f>
        <v>16.024748799999998</v>
      </c>
      <c r="M16" s="6">
        <f>IF([1]HPLC!CL19="","",[1]HPLC!CL19)</f>
        <v>0</v>
      </c>
      <c r="N16" s="6">
        <f>IF([1]HPLC!CM19="","",[1]HPLC!CM19)</f>
        <v>3.5521669519999999</v>
      </c>
      <c r="O16" s="6">
        <f>IF([1]HPLC!CN19="","",[1]HPLC!CN19)</f>
        <v>202.86831275959</v>
      </c>
      <c r="P16" s="6">
        <f>IF([1]HPLC!CO19="","",[1]HPLC!CO19)</f>
        <v>80</v>
      </c>
      <c r="Q16" s="6">
        <f>IF([1]HPLC!CP19="","",[1]HPLC!CP19)</f>
        <v>2.5358539094948749</v>
      </c>
      <c r="R16" s="6">
        <f>IF([1]HPLC!CQ19="","",[1]HPLC!CQ19)</f>
        <v>90.943378894661166</v>
      </c>
      <c r="S16" s="6">
        <f>IF([1]HPLC!CR19="","",[1]HPLC!CR19)</f>
        <v>96.428571428571431</v>
      </c>
      <c r="T16" s="5">
        <f>IF([1]氣體產量!AC19="","",[1]氣體產量!AC19)</f>
        <v>0.51025496736757159</v>
      </c>
      <c r="U16" s="3">
        <f>IF('[1]GC-TCD'!BU19="","",'[1]GC-TCD'!BU19)</f>
        <v>0</v>
      </c>
      <c r="V16" s="6">
        <f>IF('[1]GC-TCD'!BV19="","",'[1]GC-TCD'!BV19)</f>
        <v>13.602439795776089</v>
      </c>
      <c r="W16" s="6">
        <f>IF('[1]GC-TCD'!BW19="","",'[1]GC-TCD'!BW19)</f>
        <v>59.282470146183627</v>
      </c>
      <c r="X16" s="6">
        <f>IF('[1]GC-TCD'!BX19="","",'[1]GC-TCD'!BX19)</f>
        <v>27.115090058040277</v>
      </c>
      <c r="Y16">
        <v>84.122</v>
      </c>
      <c r="Z16" s="6">
        <f>IF([1]SS!AB19="","",[1]SS!AB19)</f>
        <v>13249.999999999651</v>
      </c>
      <c r="AA16" s="6">
        <f>IF([1]SS!AG19="","",[1]SS!AG19)</f>
        <v>152.00000000000102</v>
      </c>
      <c r="AB16" s="6">
        <f>IF([1]流量!AF19="","",[1]流量!AF19)</f>
        <v>2.0838039835760487</v>
      </c>
      <c r="AC16" s="6">
        <f>IF([1]流量!AN19="","",[1]流量!AN19)</f>
        <v>0.92044747612492683</v>
      </c>
      <c r="AD16" s="4">
        <f>IF([1]氣體產量!AH19="","",[1]氣體產量!AH19)</f>
        <v>0.30249174869909967</v>
      </c>
      <c r="AE16" s="4">
        <f>IF([1]methane_yield!W19="","",[1]methane_yield!W19)</f>
        <v>8.4850885640196674E-2</v>
      </c>
      <c r="AF16" s="4">
        <f>IF([1]methane_yield!AA19="","",[1]methane_yield!AA19)</f>
        <v>0.10324651257354528</v>
      </c>
    </row>
    <row r="17" spans="1:32">
      <c r="A17" s="1">
        <v>44851</v>
      </c>
      <c r="B17">
        <v>16</v>
      </c>
      <c r="C17" t="s">
        <v>43</v>
      </c>
      <c r="D17" s="6">
        <f>IF('[1]env-PLC'!S20="","",'[1]env-PLC'!S20)</f>
        <v>32.891304349999999</v>
      </c>
      <c r="E17" s="6">
        <f>IF('[1]env-PLC'!T20="","",'[1]env-PLC'!T20)</f>
        <v>6.3521739129999997</v>
      </c>
      <c r="F17" s="6">
        <f>IF('[1]env-PLC'!U20="","",'[1]env-PLC'!U20)</f>
        <v>-434.69565219999998</v>
      </c>
      <c r="G17" s="6">
        <f>IF('[1]env-PLC'!V20="","",'[1]env-PLC'!V20)</f>
        <v>12.88</v>
      </c>
      <c r="H17" s="6">
        <f>IF([1]鹼度!L20="","",[1]鹼度!L20)</f>
        <v>1466.8500000000001</v>
      </c>
      <c r="I17" s="6">
        <f>IF([1]HPLC!CH20="","",[1]HPLC!CH20)</f>
        <v>1.2243344359999999</v>
      </c>
      <c r="J17" s="6">
        <f>IF([1]HPLC!CI20="","",[1]HPLC!CI20)</f>
        <v>62.104278599999994</v>
      </c>
      <c r="K17" s="6">
        <f>IF([1]HPLC!CJ20="","",[1]HPLC!CJ20)</f>
        <v>48.868673278999999</v>
      </c>
      <c r="L17" s="6">
        <f>IF([1]HPLC!CK20="","",[1]HPLC!CK20)</f>
        <v>2.7393707819999999</v>
      </c>
      <c r="M17" s="6">
        <f>IF([1]HPLC!CL20="","",[1]HPLC!CL20)</f>
        <v>0</v>
      </c>
      <c r="N17" s="6">
        <f>IF([1]HPLC!CM20="","",[1]HPLC!CM20)</f>
        <v>2.7422088079999996</v>
      </c>
      <c r="O17" s="6">
        <f>IF([1]HPLC!CN20="","",[1]HPLC!CN20)</f>
        <v>151.25155259745</v>
      </c>
      <c r="P17" s="6">
        <f>IF([1]HPLC!CO20="","",[1]HPLC!CO20)</f>
        <v>210</v>
      </c>
      <c r="Q17" s="6">
        <f>IF([1]HPLC!CP20="","",[1]HPLC!CP20)</f>
        <v>0.72024548855928572</v>
      </c>
      <c r="R17" s="6">
        <f>IF([1]HPLC!CQ20="","",[1]HPLC!CQ20)</f>
        <v>93.247698544756702</v>
      </c>
      <c r="S17" s="6">
        <f>IF([1]HPLC!CR20="","",[1]HPLC!CR20)</f>
        <v>90.625</v>
      </c>
      <c r="T17" s="5">
        <f>IF([1]氣體產量!AC20="","",[1]氣體產量!AC20)</f>
        <v>0.67213963636541474</v>
      </c>
      <c r="U17" s="3">
        <f>IF('[1]GC-TCD'!BU20="","",'[1]GC-TCD'!BU20)</f>
        <v>0</v>
      </c>
      <c r="V17" s="6">
        <f>IF('[1]GC-TCD'!BV20="","",'[1]GC-TCD'!BV20)</f>
        <v>15.038784114373934</v>
      </c>
      <c r="W17" s="6">
        <f>IF('[1]GC-TCD'!BW20="","",'[1]GC-TCD'!BW20)</f>
        <v>57.381475230923975</v>
      </c>
      <c r="X17" s="6">
        <f>IF('[1]GC-TCD'!BX20="","",'[1]GC-TCD'!BX20)</f>
        <v>27.579740654702086</v>
      </c>
      <c r="Y17">
        <v>281.90800000000002</v>
      </c>
      <c r="Z17" s="6">
        <f>IF([1]SS!AB20="","",[1]SS!AB20)</f>
        <v>16249.999999999876</v>
      </c>
      <c r="AA17" s="6">
        <f>IF([1]SS!AG20="","",[1]SS!AG20)</f>
        <v>196.00000000000063</v>
      </c>
      <c r="AB17" s="6">
        <f>IF([1]流量!AF20="","",[1]流量!AF20)</f>
        <v>2.1059471466515438</v>
      </c>
      <c r="AC17" s="6">
        <f>IF([1]流量!AN20="","",[1]流量!AN20)</f>
        <v>1.1102065116230981</v>
      </c>
      <c r="AD17" s="4">
        <f>IF([1]氣體產量!AH20="","",[1]氣體產量!AH20)</f>
        <v>0.38568363895824292</v>
      </c>
      <c r="AE17" s="4">
        <f>IF([1]methane_yield!W20="","",[1]methane_yield!W20)</f>
        <v>0.10551325656631705</v>
      </c>
      <c r="AF17" s="4">
        <f>IF([1]methane_yield!AA20="","",[1]methane_yield!AA20)</f>
        <v>0.10644402290660861</v>
      </c>
    </row>
    <row r="18" spans="1:32">
      <c r="A18" s="1">
        <v>44852</v>
      </c>
      <c r="B18">
        <v>17</v>
      </c>
      <c r="C18" t="s">
        <v>44</v>
      </c>
      <c r="D18" s="6">
        <f>IF('[1]env-PLC'!S21="","",'[1]env-PLC'!S21)</f>
        <v>32.965000000000003</v>
      </c>
      <c r="E18" s="6">
        <f>IF('[1]env-PLC'!T21="","",'[1]env-PLC'!T21)</f>
        <v>6.3570000000000002</v>
      </c>
      <c r="F18" s="6">
        <f>IF('[1]env-PLC'!U21="","",'[1]env-PLC'!U21)</f>
        <v>-389.8</v>
      </c>
      <c r="G18" s="6">
        <f>IF('[1]env-PLC'!V21="","",'[1]env-PLC'!V21)</f>
        <v>13.97</v>
      </c>
      <c r="H18" s="6">
        <f>IF([1]鹼度!L21="","",[1]鹼度!L21)</f>
        <v>1500.4500000000003</v>
      </c>
      <c r="I18" s="6">
        <f>IF([1]HPLC!CH21="","",[1]HPLC!CH21)</f>
        <v>1.2830934300000001</v>
      </c>
      <c r="J18" s="6">
        <f>IF([1]HPLC!CI21="","",[1]HPLC!CI21)</f>
        <v>65.946642359999998</v>
      </c>
      <c r="K18" s="6">
        <f>IF([1]HPLC!CJ21="","",[1]HPLC!CJ21)</f>
        <v>41.586288545999999</v>
      </c>
      <c r="L18" s="6">
        <f>IF([1]HPLC!CK21="","",[1]HPLC!CK21)</f>
        <v>2.7080415740000001</v>
      </c>
      <c r="M18" s="6">
        <f>IF([1]HPLC!CL21="","",[1]HPLC!CL21)</f>
        <v>0</v>
      </c>
      <c r="N18" s="6">
        <f>IF([1]HPLC!CM21="","",[1]HPLC!CM21)</f>
        <v>2.9643596319999999</v>
      </c>
      <c r="O18" s="6">
        <f>IF([1]HPLC!CN21="","",[1]HPLC!CN21)</f>
        <v>144.78321504412</v>
      </c>
      <c r="P18" s="6">
        <f>IF([1]HPLC!CO21="","",[1]HPLC!CO21)</f>
        <v>220</v>
      </c>
      <c r="Q18" s="6">
        <f>IF([1]HPLC!CP21="","",[1]HPLC!CP21)</f>
        <v>0.65810552292781821</v>
      </c>
      <c r="R18" s="6">
        <f>IF([1]HPLC!CQ21="","",[1]HPLC!CQ21)</f>
        <v>93.536463614101777</v>
      </c>
      <c r="S18" s="6">
        <f>IF([1]HPLC!CR21="","",[1]HPLC!CR21)</f>
        <v>90.178571428571431</v>
      </c>
      <c r="T18" s="5">
        <f>IF([1]氣體產量!AC21="","",[1]氣體產量!AC21)</f>
        <v>0.44503578947504757</v>
      </c>
      <c r="U18" s="3">
        <f>IF('[1]GC-TCD'!BU21="","",'[1]GC-TCD'!BU21)</f>
        <v>0</v>
      </c>
      <c r="V18" s="6">
        <f>IF('[1]GC-TCD'!BV21="","",'[1]GC-TCD'!BV21)</f>
        <v>20.298863732188913</v>
      </c>
      <c r="W18" s="6">
        <f>IF('[1]GC-TCD'!BW21="","",'[1]GC-TCD'!BW21)</f>
        <v>56.17602989304612</v>
      </c>
      <c r="X18" s="6">
        <f>IF('[1]GC-TCD'!BX21="","",'[1]GC-TCD'!BX21)</f>
        <v>23.525106374764974</v>
      </c>
      <c r="Y18">
        <v>275.21899999999999</v>
      </c>
      <c r="Z18" s="6">
        <f>IF([1]SS!AB21="","",[1]SS!AB21)</f>
        <v>24750.000000000051</v>
      </c>
      <c r="AA18" s="6">
        <f>IF([1]SS!AG21="","",[1]SS!AG21)</f>
        <v>146.00000000000168</v>
      </c>
      <c r="AB18" s="6">
        <f>IF([1]流量!AF21="","",[1]流量!AF21)</f>
        <v>2.1914678387065978</v>
      </c>
      <c r="AC18" s="6">
        <f>IF([1]流量!AN21="","",[1]流量!AN21)</f>
        <v>1.10238202247173</v>
      </c>
      <c r="AD18" s="4">
        <f>IF([1]氣體產量!AH21="","",[1]氣體產量!AH21)</f>
        <v>0.25000343813025649</v>
      </c>
      <c r="AE18" s="4">
        <f>IF([1]methane_yield!W21="","",[1]methane_yield!W21)</f>
        <v>6.8183449335058641E-2</v>
      </c>
      <c r="AF18" s="4">
        <f>IF([1]methane_yield!AA21="","",[1]methane_yield!AA21)</f>
        <v>6.9273139164625699E-2</v>
      </c>
    </row>
    <row r="19" spans="1:32">
      <c r="A19" s="1">
        <v>44853</v>
      </c>
      <c r="B19">
        <v>18</v>
      </c>
      <c r="C19" t="s">
        <v>45</v>
      </c>
      <c r="D19" s="6">
        <f>IF('[1]env-PLC'!S22="","",'[1]env-PLC'!S22)</f>
        <v>32.473684210526315</v>
      </c>
      <c r="E19" s="6">
        <f>IF('[1]env-PLC'!T22="","",'[1]env-PLC'!T22)</f>
        <v>6.3400000000000016</v>
      </c>
      <c r="F19" s="6">
        <f>IF('[1]env-PLC'!U22="","",'[1]env-PLC'!U22)</f>
        <v>-418.89473684210526</v>
      </c>
      <c r="G19" s="6">
        <f>IF('[1]env-PLC'!V22="","",'[1]env-PLC'!V22)</f>
        <v>14.75</v>
      </c>
      <c r="H19" s="6">
        <f>IF([1]鹼度!L22="","",[1]鹼度!L22)</f>
        <v>1472.4500000000003</v>
      </c>
      <c r="I19" s="6">
        <f>IF([1]HPLC!CH22="","",[1]HPLC!CH22)</f>
        <v>1.3534996960000001</v>
      </c>
      <c r="J19" s="6">
        <f>IF([1]HPLC!CI22="","",[1]HPLC!CI22)</f>
        <v>97.338619200000011</v>
      </c>
      <c r="K19" s="6">
        <f>IF([1]HPLC!CJ22="","",[1]HPLC!CJ22)</f>
        <v>81.724538932000002</v>
      </c>
      <c r="L19" s="6">
        <f>IF([1]HPLC!CK22="","",[1]HPLC!CK22)</f>
        <v>3.536375794</v>
      </c>
      <c r="M19" s="6">
        <f>IF([1]HPLC!CL22="","",[1]HPLC!CL22)</f>
        <v>0.82056751199999989</v>
      </c>
      <c r="N19" s="6">
        <f>IF([1]HPLC!CM22="","",[1]HPLC!CM22)</f>
        <v>5.3578309200000005</v>
      </c>
      <c r="O19" s="6">
        <f>IF([1]HPLC!CN22="","",[1]HPLC!CN22)</f>
        <v>246.88971311864003</v>
      </c>
      <c r="P19" s="6">
        <f>IF([1]HPLC!CO22="","",[1]HPLC!CO22)</f>
        <v>280</v>
      </c>
      <c r="Q19" s="6">
        <f>IF([1]HPLC!CP22="","",[1]HPLC!CP22)</f>
        <v>0.88174897542371444</v>
      </c>
      <c r="R19" s="6">
        <f>IF([1]HPLC!CQ22="","",[1]HPLC!CQ22)</f>
        <v>88.978137807203566</v>
      </c>
      <c r="S19" s="6">
        <f>IF([1]HPLC!CR22="","",[1]HPLC!CR22)</f>
        <v>87.5</v>
      </c>
      <c r="T19" s="5">
        <f>IF([1]氣體產量!AC22="","",[1]氣體產量!AC22)</f>
        <v>0.481792</v>
      </c>
      <c r="U19" s="3">
        <f>IF('[1]GC-TCD'!BU22="","",'[1]GC-TCD'!BU22)</f>
        <v>0</v>
      </c>
      <c r="V19" s="6">
        <f>IF('[1]GC-TCD'!BV22="","",'[1]GC-TCD'!BV22)</f>
        <v>15.858665473563416</v>
      </c>
      <c r="W19" s="6">
        <f>IF('[1]GC-TCD'!BW22="","",'[1]GC-TCD'!BW22)</f>
        <v>56.6901005273618</v>
      </c>
      <c r="X19" s="6">
        <f>IF('[1]GC-TCD'!BX22="","",'[1]GC-TCD'!BX22)</f>
        <v>27.451233999074777</v>
      </c>
      <c r="Y19">
        <v>291.65199999999999</v>
      </c>
      <c r="Z19" s="6">
        <f>IF([1]SS!AB22="","",[1]SS!AB22)</f>
        <v>14500.000000000067</v>
      </c>
      <c r="AA19" s="6">
        <f>IF([1]SS!AG22="","",[1]SS!AG22)</f>
        <v>114.00000000000077</v>
      </c>
      <c r="AB19" s="6">
        <f>IF([1]流量!AF22="","",[1]流量!AF22)</f>
        <v>2.1861088398130044</v>
      </c>
      <c r="AC19" s="6">
        <f>IF([1]流量!AN22="","",[1]流量!AN22)</f>
        <v>1.1096903765760644</v>
      </c>
      <c r="AD19" s="4">
        <f>IF([1]氣體產量!AH22="","",[1]氣體產量!AH22)</f>
        <v>0.27312836913278693</v>
      </c>
      <c r="AE19" s="4">
        <f>IF([1]methane_yield!W22="","",[1]methane_yield!W22)</f>
        <v>7.8306431318646966E-2</v>
      </c>
      <c r="AF19" s="4">
        <f>IF([1]methane_yield!AA22="","",[1]methane_yield!AA22)</f>
        <v>7.9033940392897462E-2</v>
      </c>
    </row>
    <row r="20" spans="1:32">
      <c r="A20" s="1">
        <v>44854</v>
      </c>
      <c r="B20">
        <v>19</v>
      </c>
      <c r="C20" t="s">
        <v>46</v>
      </c>
      <c r="D20" s="6">
        <f>IF('[1]env-PLC'!S23="","",'[1]env-PLC'!S23)</f>
        <v>33.026086956521752</v>
      </c>
      <c r="E20" s="6">
        <f>IF('[1]env-PLC'!T23="","",'[1]env-PLC'!T23)</f>
        <v>6.3452173913043461</v>
      </c>
      <c r="F20" s="6">
        <f>IF('[1]env-PLC'!U23="","",'[1]env-PLC'!U23)</f>
        <v>-437.6521739130435</v>
      </c>
      <c r="G20" s="6">
        <f>IF('[1]env-PLC'!V23="","",'[1]env-PLC'!V23)</f>
        <v>15.17</v>
      </c>
      <c r="H20" s="6">
        <f>IF([1]鹼度!L23="","",[1]鹼度!L23)</f>
        <v>1497.25</v>
      </c>
      <c r="I20" s="6">
        <f>IF([1]HPLC!CH23="","",[1]HPLC!CH23)</f>
        <v>1.3303491429999998</v>
      </c>
      <c r="J20" s="6">
        <f>IF([1]HPLC!CI23="","",[1]HPLC!CI23)</f>
        <v>78.148297440000007</v>
      </c>
      <c r="K20" s="6">
        <f>IF([1]HPLC!CJ23="","",[1]HPLC!CJ23)</f>
        <v>73.309667597000001</v>
      </c>
      <c r="L20" s="6">
        <f>IF([1]HPLC!CK23="","",[1]HPLC!CK23)</f>
        <v>4.0254997320000001</v>
      </c>
      <c r="M20" s="6">
        <f>IF([1]HPLC!CL23="","",[1]HPLC!CL23)</f>
        <v>0</v>
      </c>
      <c r="N20" s="6">
        <f>IF([1]HPLC!CM23="","",[1]HPLC!CM23)</f>
        <v>5.3037316720000005</v>
      </c>
      <c r="O20" s="6">
        <f>IF([1]HPLC!CN23="","",[1]HPLC!CN23)</f>
        <v>212.92792065544</v>
      </c>
      <c r="P20" s="6">
        <f>IF([1]HPLC!CO23="","",[1]HPLC!CO23)</f>
        <v>470</v>
      </c>
      <c r="Q20" s="6">
        <f>IF([1]HPLC!CP23="","",[1]HPLC!CP23)</f>
        <v>0.45303812905412766</v>
      </c>
      <c r="R20" s="6">
        <f>IF([1]HPLC!CQ23="","",[1]HPLC!CQ23)</f>
        <v>90.49428925645357</v>
      </c>
      <c r="S20" s="6">
        <f>IF([1]HPLC!CR23="","",[1]HPLC!CR23)</f>
        <v>79.017857142857139</v>
      </c>
      <c r="T20" s="5">
        <f>IF([1]氣體產量!AC23="","",[1]氣體產量!AC23)</f>
        <v>0.79580980674806845</v>
      </c>
      <c r="U20" s="3">
        <f>IF('[1]GC-TCD'!BU23="","",'[1]GC-TCD'!BU23)</f>
        <v>0</v>
      </c>
      <c r="V20" s="6">
        <f>IF('[1]GC-TCD'!BV23="","",'[1]GC-TCD'!BV23)</f>
        <v>14.265638076090406</v>
      </c>
      <c r="W20" s="6">
        <f>IF('[1]GC-TCD'!BW23="","",'[1]GC-TCD'!BW23)</f>
        <v>58.573675692967178</v>
      </c>
      <c r="X20" s="6">
        <f>IF('[1]GC-TCD'!BX23="","",'[1]GC-TCD'!BX23)</f>
        <v>27.160686230942428</v>
      </c>
      <c r="Y20">
        <v>286.29000000000002</v>
      </c>
      <c r="Z20" s="6" t="str">
        <f>IF([1]SS!AB23="","",[1]SS!AB23)</f>
        <v/>
      </c>
      <c r="AA20" s="6">
        <f>IF([1]SS!AG23="","",[1]SS!AG23)</f>
        <v>287.99999999999937</v>
      </c>
      <c r="AB20" s="6">
        <f>IF([1]流量!AF23="","",[1]流量!AF23)</f>
        <v>2.1499548328710802</v>
      </c>
      <c r="AC20" s="6">
        <f>IF([1]流量!AN23="","",[1]流量!AN23)</f>
        <v>1.1046575342448139</v>
      </c>
      <c r="AD20" s="4">
        <f>IF([1]氣體產量!AH23="","",[1]氣體產量!AH23)</f>
        <v>0.46613505533744243</v>
      </c>
      <c r="AE20" s="4">
        <f>IF([1]methane_yield!W23="","",[1]methane_yield!W23)</f>
        <v>0.13140277125733951</v>
      </c>
      <c r="AF20" s="4">
        <f>IF([1]methane_yield!AA23="","",[1]methane_yield!AA23)</f>
        <v>0.13322780974723725</v>
      </c>
    </row>
    <row r="21" spans="1:32">
      <c r="A21" s="1">
        <v>44855</v>
      </c>
      <c r="B21">
        <v>20</v>
      </c>
      <c r="C21" t="s">
        <v>47</v>
      </c>
      <c r="D21" s="6">
        <f>IF('[1]env-PLC'!S24="","",'[1]env-PLC'!S24)</f>
        <v>33.154166666666676</v>
      </c>
      <c r="E21" s="6">
        <f>IF('[1]env-PLC'!T24="","",'[1]env-PLC'!T24)</f>
        <v>6.3574999999999973</v>
      </c>
      <c r="F21" s="6">
        <f>IF('[1]env-PLC'!U24="","",'[1]env-PLC'!U24)</f>
        <v>-440.75</v>
      </c>
      <c r="G21" s="6">
        <f>IF('[1]env-PLC'!V24="","",'[1]env-PLC'!V24)</f>
        <v>15.48</v>
      </c>
      <c r="H21" s="6">
        <f>IF([1]鹼度!L24="","",[1]鹼度!L24)</f>
        <v>1532.15</v>
      </c>
      <c r="I21" s="6" t="str">
        <f>IF([1]HPLC!CH24="","",[1]HPLC!CH24)</f>
        <v/>
      </c>
      <c r="J21" s="6" t="str">
        <f>IF([1]HPLC!CI24="","",[1]HPLC!CI24)</f>
        <v/>
      </c>
      <c r="K21" s="6" t="str">
        <f>IF([1]HPLC!CJ24="","",[1]HPLC!CJ24)</f>
        <v/>
      </c>
      <c r="L21" s="6" t="str">
        <f>IF([1]HPLC!CK24="","",[1]HPLC!CK24)</f>
        <v/>
      </c>
      <c r="M21" s="6" t="str">
        <f>IF([1]HPLC!CL24="","",[1]HPLC!CL24)</f>
        <v/>
      </c>
      <c r="N21" s="6" t="str">
        <f>IF([1]HPLC!CM24="","",[1]HPLC!CM24)</f>
        <v/>
      </c>
      <c r="O21" s="6" t="str">
        <f>IF([1]HPLC!CN24="","",[1]HPLC!CN24)</f>
        <v/>
      </c>
      <c r="P21" s="6">
        <f>IF([1]HPLC!CO24="","",[1]HPLC!CO24)</f>
        <v>190</v>
      </c>
      <c r="Q21" s="6" t="str">
        <f>IF([1]HPLC!CP24="","",[1]HPLC!CP24)</f>
        <v/>
      </c>
      <c r="R21" s="6" t="str">
        <f>IF([1]HPLC!CQ24="","",[1]HPLC!CQ24)</f>
        <v/>
      </c>
      <c r="S21" s="6">
        <f>IF([1]HPLC!CR24="","",[1]HPLC!CR24)</f>
        <v>91.517857142857139</v>
      </c>
      <c r="T21" s="5">
        <f>IF([1]氣體產量!AC24="","",[1]氣體產量!AC24)</f>
        <v>0.5579772523537565</v>
      </c>
      <c r="U21" s="3" t="str">
        <f>IF('[1]GC-TCD'!BU24="","",'[1]GC-TCD'!BU24)</f>
        <v/>
      </c>
      <c r="V21" s="6" t="str">
        <f>IF('[1]GC-TCD'!BV24="","",'[1]GC-TCD'!BV24)</f>
        <v/>
      </c>
      <c r="W21" s="6" t="str">
        <f>IF('[1]GC-TCD'!BW24="","",'[1]GC-TCD'!BW24)</f>
        <v/>
      </c>
      <c r="X21" s="6" t="str">
        <f>IF('[1]GC-TCD'!BX24="","",'[1]GC-TCD'!BX24)</f>
        <v/>
      </c>
      <c r="Y21">
        <v>313.64</v>
      </c>
      <c r="Z21" s="6">
        <f>IF([1]SS!AB24="","",[1]SS!AB24)</f>
        <v>29500.00000000008</v>
      </c>
      <c r="AA21" s="6" t="str">
        <f>IF([1]SS!AG24="","",[1]SS!AG24)</f>
        <v/>
      </c>
      <c r="AB21" s="6">
        <f>IF([1]流量!AF24="","",[1]流量!AF24)</f>
        <v>2.2945441169442375</v>
      </c>
      <c r="AC21" s="6">
        <f>IF([1]流量!AN24="","",[1]流量!AN24)</f>
        <v>1.1093936395741464</v>
      </c>
      <c r="AD21" s="4" t="str">
        <f>IF([1]氣體產量!AH24="","",[1]氣體產量!AH24)</f>
        <v/>
      </c>
      <c r="AE21" s="4" t="str">
        <f>IF([1]methane_yield!W24="","",[1]methane_yield!W24)</f>
        <v/>
      </c>
      <c r="AF21" s="4" t="str">
        <f>IF([1]methane_yield!AA24="","",[1]methane_yield!AA24)</f>
        <v/>
      </c>
    </row>
    <row r="22" spans="1:32">
      <c r="A22" s="1">
        <v>44856</v>
      </c>
      <c r="B22">
        <v>21</v>
      </c>
      <c r="C22" t="s">
        <v>48</v>
      </c>
      <c r="D22" s="6">
        <f>IF('[1]env-PLC'!S25="","",'[1]env-PLC'!S25)</f>
        <v>32.794444439999999</v>
      </c>
      <c r="E22" s="6">
        <f>IF('[1]env-PLC'!T25="","",'[1]env-PLC'!T25)</f>
        <v>6.358333333</v>
      </c>
      <c r="F22" s="6">
        <f>IF('[1]env-PLC'!U25="","",'[1]env-PLC'!U25)</f>
        <v>-441.22222219999998</v>
      </c>
      <c r="G22" s="6">
        <f>IF('[1]env-PLC'!V25="","",'[1]env-PLC'!V25)</f>
        <v>16.21</v>
      </c>
      <c r="H22" s="6">
        <f>IF([1]鹼度!L25="","",[1]鹼度!L25)</f>
        <v>1536.05</v>
      </c>
      <c r="I22" s="6">
        <f>IF([1]HPLC!CH25="","",[1]HPLC!CH25)</f>
        <v>0.54473958</v>
      </c>
      <c r="J22" s="6">
        <f>IF([1]HPLC!CI25="","",[1]HPLC!CI25)</f>
        <v>34.104270120000002</v>
      </c>
      <c r="K22" s="6">
        <f>IF([1]HPLC!CJ25="","",[1]HPLC!CJ25)</f>
        <v>29.481975494000004</v>
      </c>
      <c r="L22" s="6">
        <f>IF([1]HPLC!CK25="","",[1]HPLC!CK25)</f>
        <v>2.3920255360000002</v>
      </c>
      <c r="M22" s="6">
        <f>IF([1]HPLC!CL25="","",[1]HPLC!CL25)</f>
        <v>0</v>
      </c>
      <c r="N22" s="6">
        <f>IF([1]HPLC!CM25="","",[1]HPLC!CM25)</f>
        <v>0</v>
      </c>
      <c r="O22" s="6">
        <f>IF([1]HPLC!CN25="","",[1]HPLC!CN25)</f>
        <v>85.55349735286002</v>
      </c>
      <c r="P22" s="6">
        <f>IF([1]HPLC!CO25="","",[1]HPLC!CO25)</f>
        <v>150</v>
      </c>
      <c r="Q22" s="6">
        <f>IF([1]HPLC!CP25="","",[1]HPLC!CP25)</f>
        <v>0.5703566490190668</v>
      </c>
      <c r="R22" s="6">
        <f>IF([1]HPLC!CQ25="","",[1]HPLC!CQ25)</f>
        <v>96.180647439604456</v>
      </c>
      <c r="S22" s="6">
        <f>IF([1]HPLC!CR25="","",[1]HPLC!CR25)</f>
        <v>93.303571428571431</v>
      </c>
      <c r="T22" s="5">
        <f>IF([1]氣體產量!AC25="","",[1]氣體產量!AC25)</f>
        <v>0.90865960737082974</v>
      </c>
      <c r="U22" s="3" t="str">
        <f>IF('[1]GC-TCD'!BU25="","",'[1]GC-TCD'!BU25)</f>
        <v/>
      </c>
      <c r="V22" s="6" t="str">
        <f>IF('[1]GC-TCD'!BV25="","",'[1]GC-TCD'!BV25)</f>
        <v/>
      </c>
      <c r="W22" s="6" t="str">
        <f>IF('[1]GC-TCD'!BW25="","",'[1]GC-TCD'!BW25)</f>
        <v/>
      </c>
      <c r="X22" s="6" t="str">
        <f>IF('[1]GC-TCD'!BX25="","",'[1]GC-TCD'!BX25)</f>
        <v/>
      </c>
      <c r="Y22">
        <v>252.875</v>
      </c>
      <c r="Z22" s="6">
        <f>IF([1]SS!AB25="","",[1]SS!AB25)</f>
        <v>37250.000000000335</v>
      </c>
      <c r="AA22" s="6">
        <f>IF([1]SS!AG25="","",[1]SS!AG25)</f>
        <v>104.00000000000631</v>
      </c>
      <c r="AB22" s="6" t="str">
        <f>IF([1]流量!AF25="","",[1]流量!AF25)</f>
        <v/>
      </c>
      <c r="AC22" s="6">
        <f>IF([1]流量!AN25="","",[1]流量!AN25)</f>
        <v>0.54869724770451744</v>
      </c>
      <c r="AD22" s="4" t="str">
        <f>IF([1]氣體產量!AH25="","",[1]氣體產量!AH25)</f>
        <v/>
      </c>
      <c r="AE22" s="4" t="str">
        <f>IF([1]methane_yield!W25="","",[1]methane_yield!W25)</f>
        <v/>
      </c>
      <c r="AF22" s="4" t="str">
        <f>IF([1]methane_yield!AA25="","",[1]methane_yield!AA25)</f>
        <v/>
      </c>
    </row>
    <row r="23" spans="1:32">
      <c r="A23" s="1">
        <v>44857</v>
      </c>
      <c r="B23">
        <v>22</v>
      </c>
      <c r="C23" t="s">
        <v>49</v>
      </c>
      <c r="D23" s="6">
        <f>IF('[1]env-PLC'!S26="","",'[1]env-PLC'!S26)</f>
        <v>33.486666669999998</v>
      </c>
      <c r="E23" s="6">
        <f>IF('[1]env-PLC'!T26="","",'[1]env-PLC'!T26)</f>
        <v>6.3426666669999996</v>
      </c>
      <c r="F23" s="6">
        <f>IF('[1]env-PLC'!U26="","",'[1]env-PLC'!U26)</f>
        <v>-444</v>
      </c>
      <c r="G23" s="6">
        <f>IF('[1]env-PLC'!V26="","",'[1]env-PLC'!V26)</f>
        <v>16.55</v>
      </c>
      <c r="H23" s="6">
        <f>IF([1]鹼度!L26="","",[1]鹼度!L26)</f>
        <v>1535.05</v>
      </c>
      <c r="I23" s="6">
        <f>IF([1]HPLC!CH26="","",[1]HPLC!CH26)</f>
        <v>0.47367202199999991</v>
      </c>
      <c r="J23" s="6">
        <f>IF([1]HPLC!CI26="","",[1]HPLC!CI26)</f>
        <v>30.620715960000002</v>
      </c>
      <c r="K23" s="6">
        <f>IF([1]HPLC!CJ26="","",[1]HPLC!CJ26)</f>
        <v>29.758046405999998</v>
      </c>
      <c r="L23" s="6">
        <f>IF([1]HPLC!CK26="","",[1]HPLC!CK26)</f>
        <v>2.6756715039999999</v>
      </c>
      <c r="M23" s="6">
        <f>IF([1]HPLC!CL26="","",[1]HPLC!CL26)</f>
        <v>0</v>
      </c>
      <c r="N23" s="6">
        <f>IF([1]HPLC!CM26="","",[1]HPLC!CM26)</f>
        <v>2.8425182239999995</v>
      </c>
      <c r="O23" s="6">
        <f>IF([1]HPLC!CN26="","",[1]HPLC!CN26)</f>
        <v>88.533060672200008</v>
      </c>
      <c r="P23" s="6">
        <f>IF([1]HPLC!CO26="","",[1]HPLC!CO26)</f>
        <v>40</v>
      </c>
      <c r="Q23" s="6">
        <f>IF([1]HPLC!CP26="","",[1]HPLC!CP26)</f>
        <v>2.213326516805</v>
      </c>
      <c r="R23" s="6">
        <f>IF([1]HPLC!CQ26="","",[1]HPLC!CQ26)</f>
        <v>96.047631219991075</v>
      </c>
      <c r="S23" s="6">
        <f>IF([1]HPLC!CR26="","",[1]HPLC!CR26)</f>
        <v>98.214285714285708</v>
      </c>
      <c r="T23" s="5" t="str">
        <f>IF([1]氣體產量!AC26="","",[1]氣體產量!AC26)</f>
        <v/>
      </c>
      <c r="U23" s="3" t="str">
        <f>IF('[1]GC-TCD'!BU26="","",'[1]GC-TCD'!BU26)</f>
        <v/>
      </c>
      <c r="V23" s="6" t="str">
        <f>IF('[1]GC-TCD'!BV26="","",'[1]GC-TCD'!BV26)</f>
        <v/>
      </c>
      <c r="W23" s="6" t="str">
        <f>IF('[1]GC-TCD'!BW26="","",'[1]GC-TCD'!BW26)</f>
        <v/>
      </c>
      <c r="X23" s="6" t="str">
        <f>IF('[1]GC-TCD'!BX26="","",'[1]GC-TCD'!BX26)</f>
        <v/>
      </c>
      <c r="Y23">
        <v>280.27800000000002</v>
      </c>
      <c r="Z23" s="6">
        <f>IF([1]SS!AB26="","",[1]SS!AB26)</f>
        <v>13999.999999999569</v>
      </c>
      <c r="AA23" s="6">
        <f>IF([1]SS!AG26="","",[1]SS!AG26)</f>
        <v>76.000000000000512</v>
      </c>
      <c r="AB23" s="6">
        <f>IF([1]流量!AF26="","",[1]流量!AF26)</f>
        <v>1.9029931093872048</v>
      </c>
      <c r="AC23" s="6">
        <f>IF([1]流量!AN26="","",[1]流量!AN26)</f>
        <v>1.1680445682472087</v>
      </c>
      <c r="AD23" s="4" t="str">
        <f>IF([1]氣體產量!AH26="","",[1]氣體產量!AH26)</f>
        <v/>
      </c>
      <c r="AE23" s="4" t="str">
        <f>IF([1]methane_yield!W26="","",[1]methane_yield!W26)</f>
        <v/>
      </c>
      <c r="AF23" s="4" t="str">
        <f>IF([1]methane_yield!AA26="","",[1]methane_yield!AA26)</f>
        <v/>
      </c>
    </row>
    <row r="24" spans="1:32">
      <c r="A24" s="1">
        <v>44858</v>
      </c>
      <c r="B24">
        <v>23</v>
      </c>
      <c r="C24" t="s">
        <v>50</v>
      </c>
      <c r="D24" s="6">
        <f>IF('[1]env-PLC'!S27="","",'[1]env-PLC'!S27)</f>
        <v>33.290476190476191</v>
      </c>
      <c r="E24" s="6">
        <f>IF('[1]env-PLC'!T27="","",'[1]env-PLC'!T27)</f>
        <v>6.3499999999999988</v>
      </c>
      <c r="F24" s="6">
        <f>IF('[1]env-PLC'!U27="","",'[1]env-PLC'!U27)</f>
        <v>-444.66666666666669</v>
      </c>
      <c r="G24" s="6">
        <f>IF('[1]env-PLC'!V27="","",'[1]env-PLC'!V27)</f>
        <v>17.190000000000001</v>
      </c>
      <c r="H24" s="6">
        <f>IF([1]鹼度!L27="","",[1]鹼度!L27)</f>
        <v>1535.05</v>
      </c>
      <c r="I24" s="6">
        <f>IF([1]HPLC!CH27="","",[1]HPLC!CH27)</f>
        <v>0.251040604</v>
      </c>
      <c r="J24" s="6">
        <f>IF([1]HPLC!CI27="","",[1]HPLC!CI27)</f>
        <v>46.81577472</v>
      </c>
      <c r="K24" s="6">
        <f>IF([1]HPLC!CJ27="","",[1]HPLC!CJ27)</f>
        <v>54.518905724</v>
      </c>
      <c r="L24" s="6">
        <f>IF([1]HPLC!CK27="","",[1]HPLC!CK27)</f>
        <v>4.0355171060000004</v>
      </c>
      <c r="M24" s="6">
        <f>IF([1]HPLC!CL27="","",[1]HPLC!CL27)</f>
        <v>0</v>
      </c>
      <c r="N24" s="6">
        <f>IF([1]HPLC!CM27="","",[1]HPLC!CM27)</f>
        <v>4.15538396</v>
      </c>
      <c r="O24" s="6">
        <f>IF([1]HPLC!CN27="","",[1]HPLC!CN27)</f>
        <v>148.32591521636002</v>
      </c>
      <c r="P24" s="6">
        <f>IF([1]HPLC!CO27="","",[1]HPLC!CO27)</f>
        <v>470</v>
      </c>
      <c r="Q24" s="6">
        <f>IF([1]HPLC!CP27="","",[1]HPLC!CP27)</f>
        <v>0.31558705365182982</v>
      </c>
      <c r="R24" s="6">
        <f>IF([1]HPLC!CQ27="","",[1]HPLC!CQ27)</f>
        <v>93.378307356412492</v>
      </c>
      <c r="S24" s="6">
        <f>IF([1]HPLC!CR27="","",[1]HPLC!CR27)</f>
        <v>79.017857142857139</v>
      </c>
      <c r="T24" s="5" t="str">
        <f>IF([1]氣體產量!AC27="","",[1]氣體產量!AC27)</f>
        <v/>
      </c>
      <c r="U24" s="3">
        <f>IF('[1]GC-TCD'!BU27="","",'[1]GC-TCD'!BU27)</f>
        <v>0</v>
      </c>
      <c r="V24" s="6">
        <f>IF('[1]GC-TCD'!BV27="","",'[1]GC-TCD'!BV27)</f>
        <v>31.000461146649155</v>
      </c>
      <c r="W24" s="6">
        <f>IF('[1]GC-TCD'!BW27="","",'[1]GC-TCD'!BW27)</f>
        <v>52.783837331035976</v>
      </c>
      <c r="X24" s="6">
        <f>IF('[1]GC-TCD'!BX27="","",'[1]GC-TCD'!BX27)</f>
        <v>16.215701522314877</v>
      </c>
      <c r="Y24">
        <v>300.02999999999997</v>
      </c>
      <c r="Z24" s="6">
        <f>IF([1]SS!AB27="","",[1]SS!AB27)</f>
        <v>12999.999999999678</v>
      </c>
      <c r="AA24" s="6">
        <f>IF([1]SS!AG27="","",[1]SS!AG27)</f>
        <v>123.99999999999966</v>
      </c>
      <c r="AB24" s="6">
        <f>IF([1]流量!AF27="","",[1]流量!AF27)</f>
        <v>2.0853462157875597</v>
      </c>
      <c r="AC24" s="6">
        <f>IF([1]流量!AN27="","",[1]流量!AN27)</f>
        <v>1.061326451611309</v>
      </c>
      <c r="AD24" s="4" t="str">
        <f>IF([1]氣體產量!AH27="","",[1]氣體產量!AH27)</f>
        <v/>
      </c>
      <c r="AE24" s="4" t="str">
        <f>IF([1]methane_yield!W27="","",[1]methane_yield!W27)</f>
        <v/>
      </c>
      <c r="AF24" s="4" t="str">
        <f>IF([1]methane_yield!AA27="","",[1]methane_yield!AA27)</f>
        <v/>
      </c>
    </row>
    <row r="25" spans="1:32">
      <c r="A25" s="1">
        <v>44859</v>
      </c>
      <c r="B25">
        <v>24</v>
      </c>
      <c r="C25" t="s">
        <v>51</v>
      </c>
      <c r="D25" s="6">
        <f>IF('[1]env-PLC'!S28="","",'[1]env-PLC'!S28)</f>
        <v>33.335294117647052</v>
      </c>
      <c r="E25" s="6">
        <f>IF('[1]env-PLC'!T28="","",'[1]env-PLC'!T28)</f>
        <v>6.3305882352941163</v>
      </c>
      <c r="F25" s="6">
        <f>IF('[1]env-PLC'!U28="","",'[1]env-PLC'!U28)</f>
        <v>-423.52941176470586</v>
      </c>
      <c r="G25" s="6">
        <f>IF('[1]env-PLC'!V28="","",'[1]env-PLC'!V28)</f>
        <v>18.36</v>
      </c>
      <c r="H25" s="6">
        <f>IF([1]鹼度!L28="","",[1]鹼度!L28)</f>
        <v>1556.6000000000001</v>
      </c>
      <c r="I25" s="6">
        <f>IF([1]HPLC!CH28="","",[1]HPLC!CH28)</f>
        <v>1.2488609029999997</v>
      </c>
      <c r="J25" s="6">
        <f>IF([1]HPLC!CI28="","",[1]HPLC!CI28)</f>
        <v>57.808470959999994</v>
      </c>
      <c r="K25" s="6">
        <f>IF([1]HPLC!CJ28="","",[1]HPLC!CJ28)</f>
        <v>61.965554843000007</v>
      </c>
      <c r="L25" s="6">
        <f>IF([1]HPLC!CK28="","",[1]HPLC!CK28)</f>
        <v>4.8426502219999996</v>
      </c>
      <c r="M25" s="6">
        <f>IF([1]HPLC!CL28="","",[1]HPLC!CL28)</f>
        <v>0</v>
      </c>
      <c r="N25" s="6">
        <f>IF([1]HPLC!CM28="","",[1]HPLC!CM28)</f>
        <v>5.180095144</v>
      </c>
      <c r="O25" s="6">
        <f>IF([1]HPLC!CN28="","",[1]HPLC!CN28)</f>
        <v>175.24117055398</v>
      </c>
      <c r="P25" s="6">
        <f>IF([1]HPLC!CO28="","",[1]HPLC!CO28)</f>
        <v>780</v>
      </c>
      <c r="Q25" s="6">
        <f>IF([1]HPLC!CP28="","",[1]HPLC!CP28)</f>
        <v>0.22466816737689743</v>
      </c>
      <c r="R25" s="6">
        <f>IF([1]HPLC!CQ28="","",[1]HPLC!CQ28)</f>
        <v>92.176733457411615</v>
      </c>
      <c r="S25" s="6">
        <f>IF([1]HPLC!CR28="","",[1]HPLC!CR28)</f>
        <v>65.178571428571431</v>
      </c>
      <c r="T25" s="5">
        <f>IF([1]氣體產量!AC28="","",[1]氣體產量!AC28)</f>
        <v>0.54625663969183591</v>
      </c>
      <c r="U25" s="3">
        <f>IF('[1]GC-TCD'!BU28="","",'[1]GC-TCD'!BU28)</f>
        <v>0</v>
      </c>
      <c r="V25" s="6">
        <f>IF('[1]GC-TCD'!BV28="","",'[1]GC-TCD'!BV28)</f>
        <v>34.191200208391052</v>
      </c>
      <c r="W25" s="6">
        <f>IF('[1]GC-TCD'!BW28="","",'[1]GC-TCD'!BW28)</f>
        <v>44.308071764550796</v>
      </c>
      <c r="X25" s="6">
        <f>IF('[1]GC-TCD'!BX28="","",'[1]GC-TCD'!BX28)</f>
        <v>21.500728027058138</v>
      </c>
      <c r="Y25">
        <v>281.84199999999998</v>
      </c>
      <c r="Z25" s="6">
        <f>IF([1]SS!AB28="","",[1]SS!AB28)</f>
        <v>9500.0000000000637</v>
      </c>
      <c r="AA25" s="6">
        <f>IF([1]SS!AG28="","",[1]SS!AG28)</f>
        <v>104.00000000000188</v>
      </c>
      <c r="AB25" s="6">
        <f>IF([1]流量!AF28="","",[1]流量!AF28)</f>
        <v>2.1774848619005605</v>
      </c>
      <c r="AC25" s="6">
        <f>IF([1]流量!AN28="","",[1]流量!AN28)</f>
        <v>1.1007463312352856</v>
      </c>
      <c r="AD25" s="4">
        <f>IF([1]氣體產量!AH28="","",[1]氣體產量!AH28)</f>
        <v>0.24203578393328232</v>
      </c>
      <c r="AE25" s="4">
        <f>IF([1]methane_yield!W28="","",[1]methane_yield!W28)</f>
        <v>6.6984172812423692E-2</v>
      </c>
      <c r="AF25" s="4">
        <f>IF([1]methane_yield!AA28="","",[1]methane_yield!AA28)</f>
        <v>6.815582429943022E-2</v>
      </c>
    </row>
    <row r="26" spans="1:32">
      <c r="A26" s="1">
        <v>44860</v>
      </c>
      <c r="B26">
        <v>25</v>
      </c>
      <c r="C26" t="s">
        <v>52</v>
      </c>
      <c r="D26" s="6">
        <f>IF('[1]env-PLC'!S29="","",'[1]env-PLC'!S29)</f>
        <v>33.44705882352941</v>
      </c>
      <c r="E26" s="6">
        <f>IF('[1]env-PLC'!T29="","",'[1]env-PLC'!T29)</f>
        <v>6.3552941176470608</v>
      </c>
      <c r="F26" s="6">
        <f>IF('[1]env-PLC'!U29="","",'[1]env-PLC'!U29)</f>
        <v>-445</v>
      </c>
      <c r="G26" s="6">
        <f>IF('[1]env-PLC'!V29="","",'[1]env-PLC'!V29)</f>
        <v>18.52</v>
      </c>
      <c r="H26" s="6">
        <f>IF([1]鹼度!L29="","",[1]鹼度!L29)</f>
        <v>1552.9500000000003</v>
      </c>
      <c r="I26" s="6">
        <f>IF([1]HPLC!CH29="","",[1]HPLC!CH29)</f>
        <v>1.1940643280000001</v>
      </c>
      <c r="J26" s="6">
        <f>IF([1]HPLC!CI29="","",[1]HPLC!CI29)</f>
        <v>42.159563159999998</v>
      </c>
      <c r="K26" s="6">
        <f>IF([1]HPLC!CJ29="","",[1]HPLC!CJ29)</f>
        <v>70.527363019999996</v>
      </c>
      <c r="L26" s="6">
        <f>IF([1]HPLC!CK29="","",[1]HPLC!CK29)</f>
        <v>5.3345424100000001</v>
      </c>
      <c r="M26" s="6">
        <f>IF([1]HPLC!CL29="","",[1]HPLC!CL29)</f>
        <v>0</v>
      </c>
      <c r="N26" s="6">
        <f>IF([1]HPLC!CM29="","",[1]HPLC!CM29)</f>
        <v>4.7975550719999998</v>
      </c>
      <c r="O26" s="6">
        <f>IF([1]HPLC!CN29="","",[1]HPLC!CN29)</f>
        <v>171.52085278927999</v>
      </c>
      <c r="P26" s="6">
        <f>IF([1]HPLC!CO29="","",[1]HPLC!CO29)</f>
        <v>230</v>
      </c>
      <c r="Q26" s="6">
        <f>IF([1]HPLC!CP29="","",[1]HPLC!CP29)</f>
        <v>0.74574283821426079</v>
      </c>
      <c r="R26" s="6">
        <f>IF([1]HPLC!CQ29="","",[1]HPLC!CQ29)</f>
        <v>92.342819071907144</v>
      </c>
      <c r="S26" s="6">
        <f>IF([1]HPLC!CR29="","",[1]HPLC!CR29)</f>
        <v>89.732142857142861</v>
      </c>
      <c r="T26" s="5">
        <f>IF([1]氣體產量!AC29="","",[1]氣體產量!AC29)</f>
        <v>0.86143406450402094</v>
      </c>
      <c r="U26" s="3">
        <f>IF('[1]GC-TCD'!BU29="","",'[1]GC-TCD'!BU29)</f>
        <v>0</v>
      </c>
      <c r="V26" s="6">
        <f>IF('[1]GC-TCD'!BV29="","",'[1]GC-TCD'!BV29)</f>
        <v>19.147521957879952</v>
      </c>
      <c r="W26" s="6">
        <f>IF('[1]GC-TCD'!BW29="","",'[1]GC-TCD'!BW29)</f>
        <v>55.168733830384632</v>
      </c>
      <c r="X26" s="6">
        <f>IF('[1]GC-TCD'!BX29="","",'[1]GC-TCD'!BX29)</f>
        <v>25.683744211735419</v>
      </c>
      <c r="Y26">
        <v>306.92500000000001</v>
      </c>
      <c r="Z26" s="6">
        <f>IF([1]SS!AB29="","",[1]SS!AB29)</f>
        <v>16500.0000000004</v>
      </c>
      <c r="AA26" s="6">
        <f>IF([1]SS!AG29="","",[1]SS!AG29)</f>
        <v>106.00000000000165</v>
      </c>
      <c r="AB26" s="6">
        <f>IF([1]流量!AF29="","",[1]流量!AF29)</f>
        <v>2.1933190096147466</v>
      </c>
      <c r="AC26" s="6">
        <f>IF([1]流量!AN29="","",[1]流量!AN29)</f>
        <v>1.0850642201847343</v>
      </c>
      <c r="AD26" s="4">
        <f>IF([1]氣體產量!AH29="","",[1]氣體產量!AH29)</f>
        <v>0.4752422661704872</v>
      </c>
      <c r="AE26" s="4">
        <f>IF([1]methane_yield!W29="","",[1]methane_yield!W29)</f>
        <v>0.13128825089026305</v>
      </c>
      <c r="AF26" s="4">
        <f>IF([1]methane_yield!AA29="","",[1]methane_yield!AA29)</f>
        <v>0.13551533472558916</v>
      </c>
    </row>
    <row r="27" spans="1:32">
      <c r="A27" s="1">
        <v>44861</v>
      </c>
      <c r="B27">
        <v>26</v>
      </c>
      <c r="C27" t="s">
        <v>53</v>
      </c>
      <c r="D27" s="6">
        <f>IF('[1]env-PLC'!S30="","",'[1]env-PLC'!S30)</f>
        <v>33.699999999999989</v>
      </c>
      <c r="E27" s="6">
        <f>IF('[1]env-PLC'!T30="","",'[1]env-PLC'!T30)</f>
        <v>6.39</v>
      </c>
      <c r="F27" s="6">
        <f>IF('[1]env-PLC'!U30="","",'[1]env-PLC'!U30)</f>
        <v>-448.36363636363637</v>
      </c>
      <c r="G27" s="6">
        <f>IF('[1]env-PLC'!V30="","",'[1]env-PLC'!V30)</f>
        <v>18.96</v>
      </c>
      <c r="H27" s="6">
        <f>IF([1]鹼度!L30="","",[1]鹼度!L30)</f>
        <v>1568.7000000000003</v>
      </c>
      <c r="I27" s="6">
        <f>IF([1]HPLC!CH30="","",[1]HPLC!CH30)</f>
        <v>1.1683859330000002</v>
      </c>
      <c r="J27" s="6">
        <f>IF([1]HPLC!CI30="","",[1]HPLC!CI30)</f>
        <v>21.708931440000001</v>
      </c>
      <c r="K27" s="6">
        <f>IF([1]HPLC!CJ30="","",[1]HPLC!CJ30)</f>
        <v>0</v>
      </c>
      <c r="L27" s="6">
        <f>IF([1]HPLC!CK30="","",[1]HPLC!CK30)</f>
        <v>3.7080146759999999</v>
      </c>
      <c r="M27" s="6">
        <f>IF([1]HPLC!CL30="","",[1]HPLC!CL30)</f>
        <v>0</v>
      </c>
      <c r="N27" s="6">
        <f>IF([1]HPLC!CM30="","",[1]HPLC!CM30)</f>
        <v>0</v>
      </c>
      <c r="O27" s="6">
        <f>IF([1]HPLC!CN30="","",[1]HPLC!CN30)</f>
        <v>30.38607842767</v>
      </c>
      <c r="P27" s="6">
        <f>IF([1]HPLC!CO30="","",[1]HPLC!CO30)</f>
        <v>500</v>
      </c>
      <c r="Q27" s="6">
        <f>IF([1]HPLC!CP30="","",[1]HPLC!CP30)</f>
        <v>6.0772156855340001E-2</v>
      </c>
      <c r="R27" s="6">
        <f>IF([1]HPLC!CQ30="","",[1]HPLC!CQ30)</f>
        <v>98.643478641621883</v>
      </c>
      <c r="S27" s="6">
        <f>IF([1]HPLC!CR30="","",[1]HPLC!CR30)</f>
        <v>77.678571428571431</v>
      </c>
      <c r="T27" s="5">
        <f>IF([1]氣體產量!AC30="","",[1]氣體產量!AC30)</f>
        <v>0.45822685650545936</v>
      </c>
      <c r="U27" s="3">
        <f>IF('[1]GC-TCD'!BU30="","",'[1]GC-TCD'!BU30)</f>
        <v>0</v>
      </c>
      <c r="V27" s="6">
        <f>IF('[1]GC-TCD'!BV30="","",'[1]GC-TCD'!BV30)</f>
        <v>17.219589212161228</v>
      </c>
      <c r="W27" s="6">
        <f>IF('[1]GC-TCD'!BW30="","",'[1]GC-TCD'!BW30)</f>
        <v>56.581747578313255</v>
      </c>
      <c r="X27" s="6">
        <f>IF('[1]GC-TCD'!BX30="","",'[1]GC-TCD'!BX30)</f>
        <v>26.19866320952552</v>
      </c>
      <c r="Y27">
        <v>287.49099999999999</v>
      </c>
      <c r="Z27" s="6">
        <f>IF([1]SS!AB30="","",[1]SS!AB30)</f>
        <v>26749.999999999829</v>
      </c>
      <c r="AA27" s="6">
        <f>IF([1]SS!AG30="","",[1]SS!AG30)</f>
        <v>36.000000000000476</v>
      </c>
      <c r="AB27" s="6">
        <f>IF([1]流量!AF30="","",[1]流量!AF30)</f>
        <v>2.1814880251296009</v>
      </c>
      <c r="AC27" s="6">
        <f>IF([1]流量!AN30="","",[1]流量!AN30)</f>
        <v>1.0913684210447165</v>
      </c>
      <c r="AD27" s="4">
        <f>IF([1]氣體產量!AH30="","",[1]氣體產量!AH30)</f>
        <v>0.25927276328395871</v>
      </c>
      <c r="AE27" s="4">
        <f>IF([1]methane_yield!W30="","",[1]methane_yield!W30)</f>
        <v>6.7050566294524896E-2</v>
      </c>
      <c r="AF27" s="4">
        <f>IF([1]methane_yield!AA30="","",[1]methane_yield!AA30)</f>
        <v>6.8809608929293886E-2</v>
      </c>
    </row>
    <row r="28" spans="1:32">
      <c r="A28" s="1">
        <v>44862</v>
      </c>
      <c r="B28">
        <v>27</v>
      </c>
      <c r="C28" t="s">
        <v>54</v>
      </c>
      <c r="D28" s="6">
        <f>IF('[1]env-PLC'!S31="","",'[1]env-PLC'!S31)</f>
        <v>33.490476190476194</v>
      </c>
      <c r="E28" s="6">
        <f>IF('[1]env-PLC'!T31="","",'[1]env-PLC'!T31)</f>
        <v>6.3757142857142863</v>
      </c>
      <c r="F28" s="6">
        <f>IF('[1]env-PLC'!U31="","",'[1]env-PLC'!U31)</f>
        <v>-446.33333333333331</v>
      </c>
      <c r="G28" s="6">
        <f>IF('[1]env-PLC'!V31="","",'[1]env-PLC'!V31)</f>
        <v>19.3</v>
      </c>
      <c r="H28" s="6">
        <f>IF([1]鹼度!L31="","",[1]鹼度!L31)</f>
        <v>1575.25</v>
      </c>
      <c r="I28" s="6">
        <f>IF([1]HPLC!CH31="","",[1]HPLC!CH31)</f>
        <v>0.45618511500000003</v>
      </c>
      <c r="J28" s="6">
        <f>IF([1]HPLC!CI31="","",[1]HPLC!CI31)</f>
        <v>17.813876280000002</v>
      </c>
      <c r="K28" s="6">
        <f>IF([1]HPLC!CJ31="","",[1]HPLC!CJ31)</f>
        <v>43.034893158000003</v>
      </c>
      <c r="L28" s="6">
        <f>IF([1]HPLC!CK31="","",[1]HPLC!CK31)</f>
        <v>3.1903519259999999</v>
      </c>
      <c r="M28" s="6">
        <f>IF([1]HPLC!CL31="","",[1]HPLC!CL31)</f>
        <v>0</v>
      </c>
      <c r="N28" s="6">
        <f>IF([1]HPLC!CM31="","",[1]HPLC!CM31)</f>
        <v>0.57998582320000003</v>
      </c>
      <c r="O28" s="6">
        <f>IF([1]HPLC!CN31="","",[1]HPLC!CN31)</f>
        <v>91.192812663078016</v>
      </c>
      <c r="P28" s="6" t="str">
        <f>IF([1]HPLC!CO31="","",[1]HPLC!CO31)</f>
        <v/>
      </c>
      <c r="Q28" s="6" t="str">
        <f>IF([1]HPLC!CP31="","",[1]HPLC!CP31)</f>
        <v/>
      </c>
      <c r="R28" s="6">
        <f>IF([1]HPLC!CQ31="","",[1]HPLC!CQ31)</f>
        <v>95.928892291826884</v>
      </c>
      <c r="S28" s="6">
        <f>IF([1]HPLC!CR31="","",[1]HPLC!CR31)</f>
        <v>100</v>
      </c>
      <c r="T28" s="5">
        <f>IF([1]氣體產量!AC31="","",[1]氣體產量!AC31)</f>
        <v>0.85764001500342979</v>
      </c>
      <c r="U28" s="3" t="str">
        <f>IF('[1]GC-TCD'!BU31="","",'[1]GC-TCD'!BU31)</f>
        <v/>
      </c>
      <c r="V28" s="6" t="str">
        <f>IF('[1]GC-TCD'!BV31="","",'[1]GC-TCD'!BV31)</f>
        <v/>
      </c>
      <c r="W28" s="6" t="str">
        <f>IF('[1]GC-TCD'!BW31="","",'[1]GC-TCD'!BW31)</f>
        <v/>
      </c>
      <c r="X28" s="6" t="str">
        <f>IF('[1]GC-TCD'!BX31="","",'[1]GC-TCD'!BX31)</f>
        <v/>
      </c>
      <c r="Y28">
        <v>264.423</v>
      </c>
      <c r="Z28" s="6">
        <f>IF([1]SS!AB31="","",[1]SS!AB31)</f>
        <v>6250.000000000422</v>
      </c>
      <c r="AA28" s="6">
        <f>IF([1]SS!AG31="","",[1]SS!AG31)</f>
        <v>171.99999999999881</v>
      </c>
      <c r="AB28" s="6">
        <f>IF([1]流量!AF31="","",[1]流量!AF31)</f>
        <v>2.226368159206876</v>
      </c>
      <c r="AC28" s="6">
        <f>IF([1]流量!AN31="","",[1]流量!AN31)</f>
        <v>1.1196748911490486</v>
      </c>
      <c r="AD28" s="4" t="str">
        <f>IF([1]氣體產量!AH31="","",[1]氣體產量!AH31)</f>
        <v/>
      </c>
      <c r="AE28" s="4" t="str">
        <f>IF([1]methane_yield!W31="","",[1]methane_yield!W31)</f>
        <v/>
      </c>
      <c r="AF28" s="4" t="str">
        <f>IF([1]methane_yield!AA31="","",[1]methane_yield!AA31)</f>
        <v/>
      </c>
    </row>
    <row r="29" spans="1:32">
      <c r="A29" s="1">
        <v>44863</v>
      </c>
      <c r="B29">
        <v>28</v>
      </c>
      <c r="C29" t="s">
        <v>55</v>
      </c>
      <c r="D29" s="6">
        <f>IF('[1]env-PLC'!S32="","",'[1]env-PLC'!S32)</f>
        <v>33.352170000000001</v>
      </c>
      <c r="E29" s="6">
        <f>IF('[1]env-PLC'!T32="","",'[1]env-PLC'!T32)</f>
        <v>6.3604349999999998</v>
      </c>
      <c r="F29" s="6">
        <f>IF('[1]env-PLC'!U32="","",'[1]env-PLC'!U32)</f>
        <v>-445.04300000000001</v>
      </c>
      <c r="G29" s="6">
        <f>IF('[1]env-PLC'!V32="","",'[1]env-PLC'!V32)</f>
        <v>19.899999999999999</v>
      </c>
      <c r="H29" s="6">
        <f>IF([1]鹼度!L32="","",[1]鹼度!L32)</f>
        <v>1499.45</v>
      </c>
      <c r="I29" s="6">
        <f>IF([1]HPLC!CH32="","",[1]HPLC!CH32)</f>
        <v>1.195818885</v>
      </c>
      <c r="J29" s="6">
        <f>IF([1]HPLC!CI32="","",[1]HPLC!CI32)</f>
        <v>16.000144559999999</v>
      </c>
      <c r="K29" s="6">
        <f>IF([1]HPLC!CJ32="","",[1]HPLC!CJ32)</f>
        <v>55.506429508000004</v>
      </c>
      <c r="L29" s="6">
        <f>IF([1]HPLC!CK32="","",[1]HPLC!CK32)</f>
        <v>3.7888401940000001</v>
      </c>
      <c r="M29" s="6">
        <f>IF([1]HPLC!CL32="","",[1]HPLC!CL32)</f>
        <v>0</v>
      </c>
      <c r="N29" s="6">
        <f>IF([1]HPLC!CM32="","",[1]HPLC!CM32)</f>
        <v>0</v>
      </c>
      <c r="O29" s="6">
        <f>IF([1]HPLC!CN32="","",[1]HPLC!CN32)</f>
        <v>108.24908899911001</v>
      </c>
      <c r="P29" s="6">
        <f>IF([1]HPLC!CO32="","",[1]HPLC!CO32)</f>
        <v>170</v>
      </c>
      <c r="Q29" s="6">
        <f>IF([1]HPLC!CP32="","",[1]HPLC!CP32)</f>
        <v>0.63675934705358828</v>
      </c>
      <c r="R29" s="6">
        <f>IF([1]HPLC!CQ32="","",[1]HPLC!CQ32)</f>
        <v>95.167451383968299</v>
      </c>
      <c r="S29" s="6">
        <f>IF([1]HPLC!CR32="","",[1]HPLC!CR32)</f>
        <v>92.410714285714292</v>
      </c>
      <c r="T29" s="5">
        <f>IF([1]氣體產量!AC32="","",[1]氣體產量!AC32)</f>
        <v>0.76810489244227331</v>
      </c>
      <c r="U29" s="3">
        <f>IF('[1]GC-TCD'!BU32="","",'[1]GC-TCD'!BU32)</f>
        <v>0</v>
      </c>
      <c r="V29" s="6">
        <f>IF('[1]GC-TCD'!BV32="","",'[1]GC-TCD'!BV32)</f>
        <v>14.498440793204443</v>
      </c>
      <c r="W29" s="6">
        <f>IF('[1]GC-TCD'!BW32="","",'[1]GC-TCD'!BW32)</f>
        <v>58.378996471661807</v>
      </c>
      <c r="X29" s="6">
        <f>IF('[1]GC-TCD'!BX32="","",'[1]GC-TCD'!BX32)</f>
        <v>27.122562735133759</v>
      </c>
      <c r="Y29">
        <v>286.87400000000002</v>
      </c>
      <c r="Z29" s="6">
        <f>IF([1]SS!AB32="","",[1]SS!AB32)</f>
        <v>8499.999999999618</v>
      </c>
      <c r="AA29" s="6">
        <f>IF([1]SS!AG32="","",[1]SS!AG32)</f>
        <v>87.500000000001464</v>
      </c>
      <c r="AB29" s="6">
        <f>IF([1]流量!AF32="","",[1]流量!AF32)</f>
        <v>2.0852583352610807</v>
      </c>
      <c r="AC29" s="6">
        <f>IF([1]流量!AN32="","",[1]流量!AN32)</f>
        <v>1.1390732673241069</v>
      </c>
      <c r="AD29" s="4">
        <f>IF([1]氣體產量!AH32="","",[1]氣體產量!AH32)</f>
        <v>0.44841192805753644</v>
      </c>
      <c r="AE29" s="4">
        <f>IF([1]methane_yield!W32="","",[1]methane_yield!W32)</f>
        <v>0.12019949710782246</v>
      </c>
      <c r="AF29" s="4">
        <f>IF([1]methane_yield!AA32="","",[1]methane_yield!AA32)</f>
        <v>0.11818681082474741</v>
      </c>
    </row>
    <row r="30" spans="1:32">
      <c r="A30" s="1">
        <v>44864</v>
      </c>
      <c r="B30">
        <v>29</v>
      </c>
      <c r="C30" t="s">
        <v>56</v>
      </c>
      <c r="D30" s="6">
        <f>IF('[1]env-PLC'!S33="","",'[1]env-PLC'!S33)</f>
        <v>33.35</v>
      </c>
      <c r="E30" s="6">
        <f>IF('[1]env-PLC'!T33="","",'[1]env-PLC'!T33)</f>
        <v>6.3641670000000001</v>
      </c>
      <c r="F30" s="6">
        <f>IF('[1]env-PLC'!U33="","",'[1]env-PLC'!U33)</f>
        <v>-445.16699999999997</v>
      </c>
      <c r="G30" s="6">
        <f>IF('[1]env-PLC'!V33="","",'[1]env-PLC'!V33)</f>
        <v>20.6</v>
      </c>
      <c r="H30" s="6">
        <f>IF([1]鹼度!L33="","",[1]鹼度!L33)</f>
        <v>1514.35</v>
      </c>
      <c r="I30" s="6">
        <f>IF([1]HPLC!CH33="","",[1]HPLC!CH33)</f>
        <v>1.3180245799999999</v>
      </c>
      <c r="J30" s="6">
        <f>IF([1]HPLC!CI33="","",[1]HPLC!CI33)</f>
        <v>14.096982000000001</v>
      </c>
      <c r="K30" s="6">
        <f>IF([1]HPLC!CJ33="","",[1]HPLC!CJ33)</f>
        <v>46.76322132</v>
      </c>
      <c r="L30" s="6">
        <f>IF([1]HPLC!CK33="","",[1]HPLC!CK33)</f>
        <v>2.7952377579999999</v>
      </c>
      <c r="M30" s="6">
        <f>IF([1]HPLC!CL33="","",[1]HPLC!CL33)</f>
        <v>0</v>
      </c>
      <c r="N30" s="6">
        <f>IF([1]HPLC!CM33="","",[1]HPLC!CM33)</f>
        <v>0</v>
      </c>
      <c r="O30" s="6">
        <f>IF([1]HPLC!CN33="","",[1]HPLC!CN33)</f>
        <v>91.244876255759991</v>
      </c>
      <c r="P30" s="6">
        <f>IF([1]HPLC!CO33="","",[1]HPLC!CO33)</f>
        <v>100</v>
      </c>
      <c r="Q30" s="6">
        <f>IF([1]HPLC!CP33="","",[1]HPLC!CP33)</f>
        <v>0.91244876255759988</v>
      </c>
      <c r="R30" s="6">
        <f>IF([1]HPLC!CQ33="","",[1]HPLC!CQ33)</f>
        <v>95.926568024296415</v>
      </c>
      <c r="S30" s="6">
        <f>IF([1]HPLC!CR33="","",[1]HPLC!CR33)</f>
        <v>95.535714285714292</v>
      </c>
      <c r="T30" s="5">
        <f>IF([1]氣體產量!AC33="","",[1]氣體產量!AC33)</f>
        <v>0.79243370664772361</v>
      </c>
      <c r="U30" s="3">
        <f>IF('[1]GC-TCD'!BU33="","",'[1]GC-TCD'!BU33)</f>
        <v>0</v>
      </c>
      <c r="V30" s="6">
        <f>IF('[1]GC-TCD'!BV33="","",'[1]GC-TCD'!BV33)</f>
        <v>17.574792248991596</v>
      </c>
      <c r="W30" s="6">
        <f>IF('[1]GC-TCD'!BW33="","",'[1]GC-TCD'!BW33)</f>
        <v>57.925353936716441</v>
      </c>
      <c r="X30" s="6">
        <f>IF('[1]GC-TCD'!BX33="","",'[1]GC-TCD'!BX33)</f>
        <v>24.499853814291964</v>
      </c>
      <c r="Y30">
        <v>307.82900000000001</v>
      </c>
      <c r="Z30" s="6">
        <f>IF([1]SS!AB33="","",[1]SS!AB33)</f>
        <v>9500.0000000000637</v>
      </c>
      <c r="AA30" s="6">
        <f>IF([1]SS!AG33="","",[1]SS!AG33)</f>
        <v>63.000000000001947</v>
      </c>
      <c r="AB30" s="6">
        <f>IF([1]流量!AF33="","",[1]流量!AF33)</f>
        <v>2.234909938018236</v>
      </c>
      <c r="AC30" s="6">
        <f>IF([1]流量!AN33="","",[1]流量!AN33)</f>
        <v>1.0737391304351223</v>
      </c>
      <c r="AD30" s="4">
        <f>IF([1]氣體產量!AH33="","",[1]氣體產量!AH33)</f>
        <v>0.45902002928953523</v>
      </c>
      <c r="AE30" s="4">
        <f>IF([1]methane_yield!W33="","",[1]methane_yield!W33)</f>
        <v>0.12206935853023733</v>
      </c>
      <c r="AF30" s="4">
        <f>IF([1]methane_yield!AA33="","",[1]methane_yield!AA33)</f>
        <v>0.1273285825938581</v>
      </c>
    </row>
    <row r="31" spans="1:32">
      <c r="A31" s="1">
        <v>44865</v>
      </c>
      <c r="B31">
        <v>30</v>
      </c>
      <c r="C31" t="s">
        <v>57</v>
      </c>
      <c r="D31" s="6">
        <f>IF('[1]env-PLC'!S34="","",'[1]env-PLC'!S34)</f>
        <v>32.729999999999997</v>
      </c>
      <c r="E31" s="6">
        <f>IF('[1]env-PLC'!T34="","",'[1]env-PLC'!T34)</f>
        <v>6.37</v>
      </c>
      <c r="F31" s="6">
        <f>IF('[1]env-PLC'!U34="","",'[1]env-PLC'!U34)</f>
        <v>-443.87</v>
      </c>
      <c r="G31" s="6">
        <f>IF('[1]env-PLC'!V34="","",'[1]env-PLC'!V34)</f>
        <v>20.8</v>
      </c>
      <c r="H31" s="6">
        <f>IF([1]鹼度!L34="","",[1]鹼度!L34)</f>
        <v>1521.5</v>
      </c>
      <c r="I31" s="6">
        <f>IF([1]HPLC!CH34="","",[1]HPLC!CH34)</f>
        <v>0.83275891099999988</v>
      </c>
      <c r="J31" s="6">
        <f>IF([1]HPLC!CI34="","",[1]HPLC!CI34)</f>
        <v>15.57404064</v>
      </c>
      <c r="K31" s="6">
        <f>IF([1]HPLC!CJ34="","",[1]HPLC!CJ34)</f>
        <v>62.340427484000003</v>
      </c>
      <c r="L31" s="6">
        <f>IF([1]HPLC!CK34="","",[1]HPLC!CK34)</f>
        <v>3.2169935639999996</v>
      </c>
      <c r="M31" s="6">
        <f>IF([1]HPLC!CL34="","",[1]HPLC!CL34)</f>
        <v>0</v>
      </c>
      <c r="N31" s="6">
        <f>IF([1]HPLC!CM34="","",[1]HPLC!CM34)</f>
        <v>0</v>
      </c>
      <c r="O31" s="6">
        <f>IF([1]HPLC!CN34="","",[1]HPLC!CN34)</f>
        <v>116.94466289097001</v>
      </c>
      <c r="P31" s="6">
        <f>IF([1]HPLC!CO34="","",[1]HPLC!CO34)</f>
        <v>180</v>
      </c>
      <c r="Q31" s="6">
        <f>IF([1]HPLC!CP34="","",[1]HPLC!CP34)</f>
        <v>0.64969257161650007</v>
      </c>
      <c r="R31" s="6">
        <f>IF([1]HPLC!CQ34="","",[1]HPLC!CQ34)</f>
        <v>94.77925612093884</v>
      </c>
      <c r="S31" s="6">
        <f>IF([1]HPLC!CR34="","",[1]HPLC!CR34)</f>
        <v>91.964285714285708</v>
      </c>
      <c r="T31" s="5">
        <f>IF([1]氣體產量!AC34="","",[1]氣體產量!AC34)</f>
        <v>0.73895563636559147</v>
      </c>
      <c r="U31" s="3">
        <f>IF('[1]GC-TCD'!BU34="","",'[1]GC-TCD'!BU34)</f>
        <v>0</v>
      </c>
      <c r="V31" s="6">
        <f>IF('[1]GC-TCD'!BV34="","",'[1]GC-TCD'!BV34)</f>
        <v>14.733350276514717</v>
      </c>
      <c r="W31" s="6">
        <f>IF('[1]GC-TCD'!BW34="","",'[1]GC-TCD'!BW34)</f>
        <v>57.492233444486175</v>
      </c>
      <c r="X31" s="6">
        <f>IF('[1]GC-TCD'!BX34="","",'[1]GC-TCD'!BX34)</f>
        <v>27.774416278999098</v>
      </c>
      <c r="Y31">
        <v>265.20600000000002</v>
      </c>
      <c r="Z31" s="6">
        <f>IF([1]SS!AB34="","",[1]SS!AB34)</f>
        <v>8499.999999999618</v>
      </c>
      <c r="AA31" s="6">
        <f>IF([1]SS!AG34="","",[1]SS!AG34)</f>
        <v>91.999999999998749</v>
      </c>
      <c r="AB31" s="6">
        <f>IF([1]流量!AF34="","",[1]流量!AF34)</f>
        <v>2.2502670940062113</v>
      </c>
      <c r="AC31" s="6">
        <f>IF([1]流量!AN34="","",[1]流量!AN34)</f>
        <v>1.0940631578947368</v>
      </c>
      <c r="AD31" s="4">
        <f>IF([1]氣體產量!AH34="","",[1]氣體產量!AH34)</f>
        <v>0.42484209951049423</v>
      </c>
      <c r="AE31" s="4">
        <f>IF([1]methane_yield!W34="","",[1]methane_yield!W34)</f>
        <v>0.11434789746770002</v>
      </c>
      <c r="AF31" s="4">
        <f>IF([1]methane_yield!AA34="","",[1]methane_yield!AA34)</f>
        <v>0.11705873124387395</v>
      </c>
    </row>
    <row r="32" spans="1:32">
      <c r="A32" s="1">
        <v>44866</v>
      </c>
      <c r="B32">
        <v>31</v>
      </c>
      <c r="C32" t="s">
        <v>58</v>
      </c>
      <c r="D32" s="6">
        <f>IF('[1]env-PLC'!S35="","",'[1]env-PLC'!S35)</f>
        <v>33.130769230769246</v>
      </c>
      <c r="E32" s="6">
        <f>IF('[1]env-PLC'!T35="","",'[1]env-PLC'!T35)</f>
        <v>6.3515384615384596</v>
      </c>
      <c r="F32" s="6">
        <f>IF('[1]env-PLC'!U35="","",'[1]env-PLC'!U35)</f>
        <v>-442.92307692307691</v>
      </c>
      <c r="G32" s="6">
        <f>IF('[1]env-PLC'!V35="","",'[1]env-PLC'!V35)</f>
        <v>21.9</v>
      </c>
      <c r="H32" s="6">
        <f>IF([1]鹼度!L35="","",[1]鹼度!L35)</f>
        <v>1530.35</v>
      </c>
      <c r="I32" s="6">
        <f>IF([1]HPLC!CH35="","",[1]HPLC!CH35)</f>
        <v>0.92700368699999991</v>
      </c>
      <c r="J32" s="6">
        <f>IF([1]HPLC!CI35="","",[1]HPLC!CI35)</f>
        <v>17.783829480000001</v>
      </c>
      <c r="K32" s="6">
        <f>IF([1]HPLC!CJ35="","",[1]HPLC!CJ35)</f>
        <v>104.45843202300001</v>
      </c>
      <c r="L32" s="6">
        <f>IF([1]HPLC!CK35="","",[1]HPLC!CK35)</f>
        <v>2.6843970280000002</v>
      </c>
      <c r="M32" s="6">
        <f>IF([1]HPLC!CL35="","",[1]HPLC!CL35)</f>
        <v>0</v>
      </c>
      <c r="N32" s="6">
        <f>IF([1]HPLC!CM35="","",[1]HPLC!CM35)</f>
        <v>0</v>
      </c>
      <c r="O32" s="6">
        <f>IF([1]HPLC!CN35="","",[1]HPLC!CN35)</f>
        <v>181.97098377974004</v>
      </c>
      <c r="P32" s="6">
        <f>IF([1]HPLC!CO35="","",[1]HPLC!CO35)</f>
        <v>380</v>
      </c>
      <c r="Q32" s="6">
        <f>IF([1]HPLC!CP35="","",[1]HPLC!CP35)</f>
        <v>0.4788710099466843</v>
      </c>
      <c r="R32" s="6">
        <f>IF([1]HPLC!CQ35="","",[1]HPLC!CQ35)</f>
        <v>91.876295366975896</v>
      </c>
      <c r="S32" s="6">
        <f>IF([1]HPLC!CR35="","",[1]HPLC!CR35)</f>
        <v>83.035714285714292</v>
      </c>
      <c r="T32" s="5">
        <f>IF([1]氣體產量!AC35="","",[1]氣體產量!AC35)</f>
        <v>0.66878129070971293</v>
      </c>
      <c r="U32" s="3">
        <f>IF('[1]GC-TCD'!BU35="","",'[1]GC-TCD'!BU35)</f>
        <v>0</v>
      </c>
      <c r="V32" s="6">
        <f>IF('[1]GC-TCD'!BV35="","",'[1]GC-TCD'!BV35)</f>
        <v>13.706027841527133</v>
      </c>
      <c r="W32" s="6">
        <f>IF('[1]GC-TCD'!BW35="","",'[1]GC-TCD'!BW35)</f>
        <v>57.931665125916339</v>
      </c>
      <c r="X32" s="6">
        <f>IF('[1]GC-TCD'!BX35="","",'[1]GC-TCD'!BX35)</f>
        <v>28.362307032556522</v>
      </c>
      <c r="Y32">
        <v>399.721</v>
      </c>
      <c r="Z32" s="6">
        <f>IF([1]SS!AB35="","",[1]SS!AB35)</f>
        <v>16250.000000000429</v>
      </c>
      <c r="AA32" s="6">
        <f>IF([1]SS!AG35="","",[1]SS!AG35)</f>
        <v>104.00000000000188</v>
      </c>
      <c r="AB32" s="6">
        <f>IF([1]流量!AF35="","",[1]流量!AF35)</f>
        <v>2.2314908437380128</v>
      </c>
      <c r="AC32" s="6">
        <f>IF([1]流量!AN35="","",[1]流量!AN35)</f>
        <v>1.0603031784774681</v>
      </c>
      <c r="AD32" s="4">
        <f>IF([1]氣體產量!AH35="","",[1]氣體產量!AH35)</f>
        <v>0.38743613775873192</v>
      </c>
      <c r="AE32" s="4">
        <f>IF([1]methane_yield!W35="","",[1]methane_yield!W35)</f>
        <v>0.10757480918606298</v>
      </c>
      <c r="AF32" s="4">
        <f>IF([1]methane_yield!AA35="","",[1]methane_yield!AA35)</f>
        <v>0.11363144875355183</v>
      </c>
    </row>
    <row r="33" spans="1:32">
      <c r="A33" s="1">
        <v>44867</v>
      </c>
      <c r="B33">
        <v>32</v>
      </c>
      <c r="C33" t="s">
        <v>59</v>
      </c>
      <c r="D33" s="6">
        <f>IF('[1]env-PLC'!S36="","",'[1]env-PLC'!S36)</f>
        <v>33.161900000000003</v>
      </c>
      <c r="E33" s="6">
        <f>IF('[1]env-PLC'!T36="","",'[1]env-PLC'!T36)</f>
        <v>6.3423809999999996</v>
      </c>
      <c r="F33" s="6">
        <f>IF('[1]env-PLC'!U36="","",'[1]env-PLC'!U36)</f>
        <v>-441.42899999999997</v>
      </c>
      <c r="G33" s="6">
        <f>IF('[1]env-PLC'!V36="","",'[1]env-PLC'!V36)</f>
        <v>22.3</v>
      </c>
      <c r="H33" s="6">
        <f>IF([1]鹼度!L36="","",[1]鹼度!L36)</f>
        <v>1528.9</v>
      </c>
      <c r="I33" s="6">
        <f>IF([1]HPLC!CH36="","",[1]HPLC!CH36)</f>
        <v>2.3792649149999998</v>
      </c>
      <c r="J33" s="6">
        <f>IF([1]HPLC!CI36="","",[1]HPLC!CI36)</f>
        <v>19.080037920000002</v>
      </c>
      <c r="K33" s="6">
        <f>IF([1]HPLC!CJ36="","",[1]HPLC!CJ36)</f>
        <v>105.55810047600001</v>
      </c>
      <c r="L33" s="6">
        <f>IF([1]HPLC!CK36="","",[1]HPLC!CK36)</f>
        <v>3.2859266799999998</v>
      </c>
      <c r="M33" s="6">
        <f>IF([1]HPLC!CL36="","",[1]HPLC!CL36)</f>
        <v>0</v>
      </c>
      <c r="N33" s="6">
        <f>IF([1]HPLC!CM36="","",[1]HPLC!CM36)</f>
        <v>0</v>
      </c>
      <c r="O33" s="6">
        <f>IF([1]HPLC!CN36="","",[1]HPLC!CN36)</f>
        <v>186.62150157101004</v>
      </c>
      <c r="P33" s="6">
        <f>IF([1]HPLC!CO36="","",[1]HPLC!CO36)</f>
        <v>110</v>
      </c>
      <c r="Q33" s="6">
        <f>IF([1]HPLC!CP36="","",[1]HPLC!CP36)</f>
        <v>1.6965591051910003</v>
      </c>
      <c r="R33" s="6">
        <f>IF([1]HPLC!CQ36="","",[1]HPLC!CQ36)</f>
        <v>91.668682965579919</v>
      </c>
      <c r="S33" s="6">
        <f>IF([1]HPLC!CR36="","",[1]HPLC!CR36)</f>
        <v>95.089285714285708</v>
      </c>
      <c r="T33" s="5">
        <f>IF([1]氣體產量!AC36="","",[1]氣體產量!AC36)</f>
        <v>0.5909759999982801</v>
      </c>
      <c r="U33" s="3">
        <f>IF('[1]GC-TCD'!BU36="","",'[1]GC-TCD'!BU36)</f>
        <v>0</v>
      </c>
      <c r="V33" s="6">
        <f>IF('[1]GC-TCD'!BV36="","",'[1]GC-TCD'!BV36)</f>
        <v>16.666526542444121</v>
      </c>
      <c r="W33" s="6">
        <f>IF('[1]GC-TCD'!BW36="","",'[1]GC-TCD'!BW36)</f>
        <v>56.236577699929121</v>
      </c>
      <c r="X33" s="6">
        <f>IF('[1]GC-TCD'!BX36="","",'[1]GC-TCD'!BX36)</f>
        <v>27.096895757626754</v>
      </c>
      <c r="Y33">
        <v>286.66699999999997</v>
      </c>
      <c r="Z33" s="6">
        <f>IF([1]SS!AB36="","",[1]SS!AB36)</f>
        <v>7749.9999999997017</v>
      </c>
      <c r="AA33" s="6">
        <f>IF([1]SS!AG36="","",[1]SS!AG36)</f>
        <v>95.000000000000639</v>
      </c>
      <c r="AB33" s="6">
        <f>IF([1]流量!AF36="","",[1]流量!AF36)</f>
        <v>2.2249337189733365</v>
      </c>
      <c r="AC33" s="6">
        <f>IF([1]流量!AN36="","",[1]流量!AN36)</f>
        <v>1.2636812749062594</v>
      </c>
      <c r="AD33" s="4">
        <f>IF([1]氣體產量!AH36="","",[1]氣體產量!AH36)</f>
        <v>0.33234467742696594</v>
      </c>
      <c r="AE33" s="4">
        <f>IF([1]methane_yield!W36="","",[1]methane_yield!W36)</f>
        <v>9.2487207979083663E-2</v>
      </c>
      <c r="AF33" s="4">
        <f>IF([1]methane_yield!AA36="","",[1]methane_yield!AA36)</f>
        <v>8.1971360178821798E-2</v>
      </c>
    </row>
    <row r="34" spans="1:32">
      <c r="A34" s="1">
        <v>44868</v>
      </c>
      <c r="B34">
        <v>33</v>
      </c>
      <c r="C34" t="s">
        <v>60</v>
      </c>
      <c r="D34" s="6">
        <f>IF('[1]env-PLC'!S37="","",'[1]env-PLC'!S37)</f>
        <v>32.381818181818183</v>
      </c>
      <c r="E34" s="6">
        <f>IF('[1]env-PLC'!T37="","",'[1]env-PLC'!T37)</f>
        <v>6.3477272727272718</v>
      </c>
      <c r="F34" s="6">
        <f>IF('[1]env-PLC'!U37="","",'[1]env-PLC'!U37)</f>
        <v>-439.77272727272725</v>
      </c>
      <c r="G34" s="6">
        <f>IF('[1]env-PLC'!V37="","",'[1]env-PLC'!V37)</f>
        <v>23.1</v>
      </c>
      <c r="H34" s="6">
        <f>IF([1]鹼度!L37="","",[1]鹼度!L37)</f>
        <v>1467.8000000000002</v>
      </c>
      <c r="I34" s="6">
        <f>IF([1]HPLC!CH37="","",[1]HPLC!CH37)</f>
        <v>1.3930065599999999</v>
      </c>
      <c r="J34" s="6">
        <f>IF([1]HPLC!CI37="","",[1]HPLC!CI37)</f>
        <v>15.269595600000001</v>
      </c>
      <c r="K34" s="6">
        <f>IF([1]HPLC!CJ37="","",[1]HPLC!CJ37)</f>
        <v>90.881478789000013</v>
      </c>
      <c r="L34" s="6">
        <f>IF([1]HPLC!CK37="","",[1]HPLC!CK37)</f>
        <v>2.0629950319999999</v>
      </c>
      <c r="M34" s="6">
        <f>IF([1]HPLC!CL37="","",[1]HPLC!CL37)</f>
        <v>0</v>
      </c>
      <c r="N34" s="6">
        <f>IF([1]HPLC!CM37="","",[1]HPLC!CM37)</f>
        <v>0</v>
      </c>
      <c r="O34" s="6">
        <f>IF([1]HPLC!CN37="","",[1]HPLC!CN37)</f>
        <v>157.81170351763004</v>
      </c>
      <c r="P34" s="6">
        <f>IF([1]HPLC!CO37="","",[1]HPLC!CO37)</f>
        <v>270</v>
      </c>
      <c r="Q34" s="6">
        <f>IF([1]HPLC!CP37="","",[1]HPLC!CP37)</f>
        <v>0.58448779080603719</v>
      </c>
      <c r="R34" s="6">
        <f>IF([1]HPLC!CQ37="","",[1]HPLC!CQ37)</f>
        <v>92.954834664391512</v>
      </c>
      <c r="S34" s="6">
        <f>IF([1]HPLC!CR37="","",[1]HPLC!CR37)</f>
        <v>87.946428571428569</v>
      </c>
      <c r="T34" s="5">
        <f>IF([1]氣體產量!AC37="","",[1]氣體產量!AC37)</f>
        <v>0.53841630611341362</v>
      </c>
      <c r="U34" s="3">
        <f>IF('[1]GC-TCD'!BU37="","",'[1]GC-TCD'!BU37)</f>
        <v>0</v>
      </c>
      <c r="V34" s="6">
        <f>IF('[1]GC-TCD'!BV37="","",'[1]GC-TCD'!BV37)</f>
        <v>17.170185910976457</v>
      </c>
      <c r="W34" s="6">
        <f>IF('[1]GC-TCD'!BW37="","",'[1]GC-TCD'!BW37)</f>
        <v>57.349029993502008</v>
      </c>
      <c r="X34" s="6">
        <f>IF('[1]GC-TCD'!BX37="","",'[1]GC-TCD'!BX37)</f>
        <v>25.480784095521525</v>
      </c>
      <c r="Y34">
        <v>266.625</v>
      </c>
      <c r="Z34" s="6">
        <f>IF([1]SS!AB37="","",[1]SS!AB37)</f>
        <v>6249.9999999998672</v>
      </c>
      <c r="AA34" s="6">
        <f>IF([1]SS!AG37="","",[1]SS!AG37)</f>
        <v>203.7499999999998</v>
      </c>
      <c r="AB34" s="6">
        <f>IF([1]流量!AF37="","",[1]流量!AF37)</f>
        <v>2.2482369186803517</v>
      </c>
      <c r="AC34" s="6">
        <f>IF([1]流量!AN37="","",[1]流量!AN37)</f>
        <v>1.1416396866792151</v>
      </c>
      <c r="AD34" s="4">
        <f>IF([1]氣體產量!AH37="","",[1]氣體產量!AH37)</f>
        <v>0.30877652888288715</v>
      </c>
      <c r="AE34" s="4">
        <f>IF([1]methane_yield!W37="","",[1]methane_yield!W37)</f>
        <v>8.4739565143221521E-2</v>
      </c>
      <c r="AF34" s="4">
        <f>IF([1]methane_yield!AA37="","",[1]methane_yield!AA37)</f>
        <v>8.3133333632151515E-2</v>
      </c>
    </row>
    <row r="35" spans="1:32">
      <c r="A35" s="1">
        <v>44869</v>
      </c>
      <c r="B35">
        <v>34</v>
      </c>
      <c r="C35" t="s">
        <v>61</v>
      </c>
      <c r="D35" s="6">
        <f>IF('[1]env-PLC'!S38="","",'[1]env-PLC'!S38)</f>
        <v>33.013039999999997</v>
      </c>
      <c r="E35" s="6">
        <f>IF('[1]env-PLC'!T38="","",'[1]env-PLC'!T38)</f>
        <v>6.32</v>
      </c>
      <c r="F35" s="6">
        <f>IF('[1]env-PLC'!U38="","",'[1]env-PLC'!U38)</f>
        <v>-439.52199999999999</v>
      </c>
      <c r="G35" s="6">
        <f>IF('[1]env-PLC'!V38="","",'[1]env-PLC'!V38)</f>
        <v>23.5</v>
      </c>
      <c r="H35" s="6">
        <f>IF([1]鹼度!L38="","",[1]鹼度!L38)</f>
        <v>1514.5</v>
      </c>
      <c r="I35" s="6">
        <f>IF([1]HPLC!CH38="","",[1]HPLC!CH38)</f>
        <v>1.0630378509999998</v>
      </c>
      <c r="J35" s="6">
        <f>IF([1]HPLC!CI38="","",[1]HPLC!CI38)</f>
        <v>19.212681839999998</v>
      </c>
      <c r="K35" s="6">
        <f>IF([1]HPLC!CJ38="","",[1]HPLC!CJ38)</f>
        <v>132.16872995000003</v>
      </c>
      <c r="L35" s="6">
        <f>IF([1]HPLC!CK38="","",[1]HPLC!CK38)</f>
        <v>3.114841448</v>
      </c>
      <c r="M35" s="6">
        <f>IF([1]HPLC!CL38="","",[1]HPLC!CL38)</f>
        <v>0</v>
      </c>
      <c r="N35" s="6">
        <f>IF([1]HPLC!CM38="","",[1]HPLC!CM38)</f>
        <v>0</v>
      </c>
      <c r="O35" s="6">
        <f>IF([1]HPLC!CN38="","",[1]HPLC!CN38)</f>
        <v>226.17342647651003</v>
      </c>
      <c r="P35" s="6">
        <f>IF([1]HPLC!CO38="","",[1]HPLC!CO38)</f>
        <v>160</v>
      </c>
      <c r="Q35" s="6">
        <f>IF([1]HPLC!CP38="","",[1]HPLC!CP38)</f>
        <v>1.4135839154781877</v>
      </c>
      <c r="R35" s="6">
        <f>IF([1]HPLC!CQ38="","",[1]HPLC!CQ38)</f>
        <v>89.902972032298649</v>
      </c>
      <c r="S35" s="6">
        <f>IF([1]HPLC!CR38="","",[1]HPLC!CR38)</f>
        <v>92.857142857142861</v>
      </c>
      <c r="T35" s="5">
        <f>IF([1]氣體產量!AC38="","",[1]氣體產量!AC38)</f>
        <v>0.57895205458517307</v>
      </c>
      <c r="U35" s="3">
        <f>IF('[1]GC-TCD'!BU38="","",'[1]GC-TCD'!BU38)</f>
        <v>0</v>
      </c>
      <c r="V35" s="6">
        <f>IF('[1]GC-TCD'!BV38="","",'[1]GC-TCD'!BV38)</f>
        <v>14.21178563270372</v>
      </c>
      <c r="W35" s="6">
        <f>IF('[1]GC-TCD'!BW38="","",'[1]GC-TCD'!BW38)</f>
        <v>57.170921386245752</v>
      </c>
      <c r="X35" s="6">
        <f>IF('[1]GC-TCD'!BX38="","",'[1]GC-TCD'!BX38)</f>
        <v>28.617292981050525</v>
      </c>
      <c r="Y35">
        <v>305.59100000000001</v>
      </c>
      <c r="Z35" s="6">
        <f>IF([1]SS!AB38="","",[1]SS!AB38)</f>
        <v>6249.9999999998672</v>
      </c>
      <c r="AA35" s="6">
        <f>IF([1]SS!AG38="","",[1]SS!AG38)</f>
        <v>161.66666666666737</v>
      </c>
      <c r="AB35" s="6">
        <f>IF([1]流量!AF38="","",[1]流量!AF38)</f>
        <v>2.2617052610129784</v>
      </c>
      <c r="AC35" s="6">
        <f>IF([1]流量!AN38="","",[1]流量!AN38)</f>
        <v>1.0532571428600028</v>
      </c>
      <c r="AD35" s="4">
        <f>IF([1]氣體產量!AH38="","",[1]氣體產量!AH38)</f>
        <v>0.33099222399094386</v>
      </c>
      <c r="AE35" s="4">
        <f>IF([1]methane_yield!W38="","",[1]methane_yield!W38)</f>
        <v>9.3919911573212056E-2</v>
      </c>
      <c r="AF35" s="4">
        <f>IF([1]methane_yield!AA38="","",[1]methane_yield!AA38)</f>
        <v>9.9871433747285035E-2</v>
      </c>
    </row>
    <row r="36" spans="1:32">
      <c r="A36" s="1">
        <v>44870</v>
      </c>
      <c r="B36">
        <v>35</v>
      </c>
      <c r="C36" t="s">
        <v>62</v>
      </c>
      <c r="D36" s="6">
        <f>IF('[1]env-PLC'!S39="","",'[1]env-PLC'!S39)</f>
        <v>32.995829999999998</v>
      </c>
      <c r="E36" s="6">
        <f>IF('[1]env-PLC'!T39="","",'[1]env-PLC'!T39)</f>
        <v>6.335833</v>
      </c>
      <c r="F36" s="6">
        <f>IF('[1]env-PLC'!U39="","",'[1]env-PLC'!U39)</f>
        <v>-441.125</v>
      </c>
      <c r="G36" s="6">
        <f>IF('[1]env-PLC'!V39="","",'[1]env-PLC'!V39)</f>
        <v>23.9</v>
      </c>
      <c r="H36" s="6">
        <f>IF([1]鹼度!L39="","",[1]鹼度!L39)</f>
        <v>1525.15</v>
      </c>
      <c r="I36" s="6">
        <f>IF([1]HPLC!CH39="","",[1]HPLC!CH39)</f>
        <v>1.0513319160000001</v>
      </c>
      <c r="J36" s="6">
        <f>IF([1]HPLC!CI39="","",[1]HPLC!CI39)</f>
        <v>17.800499760000001</v>
      </c>
      <c r="K36" s="6">
        <f>IF([1]HPLC!CJ39="","",[1]HPLC!CJ39)</f>
        <v>121.03963044900001</v>
      </c>
      <c r="L36" s="6">
        <f>IF([1]HPLC!CK39="","",[1]HPLC!CK39)</f>
        <v>2.4081182959999996</v>
      </c>
      <c r="M36" s="6">
        <f>IF([1]HPLC!CL39="","",[1]HPLC!CL39)</f>
        <v>0</v>
      </c>
      <c r="N36" s="6">
        <f>IF([1]HPLC!CM39="","",[1]HPLC!CM39)</f>
        <v>0</v>
      </c>
      <c r="O36" s="6">
        <f>IF([1]HPLC!CN39="","",[1]HPLC!CN39)</f>
        <v>206.56711819051</v>
      </c>
      <c r="P36" s="6">
        <f>IF([1]HPLC!CO39="","",[1]HPLC!CO39)</f>
        <v>250</v>
      </c>
      <c r="Q36" s="6">
        <f>IF([1]HPLC!CP39="","",[1]HPLC!CP39)</f>
        <v>0.82626847276203996</v>
      </c>
      <c r="R36" s="6">
        <f>IF([1]HPLC!CQ39="","",[1]HPLC!CQ39)</f>
        <v>90.778253652209372</v>
      </c>
      <c r="S36" s="6">
        <f>IF([1]HPLC!CR39="","",[1]HPLC!CR39)</f>
        <v>88.839285714285708</v>
      </c>
      <c r="T36" s="5">
        <f>IF([1]氣體產量!AC39="","",[1]氣體產量!AC39)</f>
        <v>0.58410562044987591</v>
      </c>
      <c r="U36" s="3">
        <f>IF('[1]GC-TCD'!BU39="","",'[1]GC-TCD'!BU39)</f>
        <v>0</v>
      </c>
      <c r="V36" s="6">
        <f>IF('[1]GC-TCD'!BV39="","",'[1]GC-TCD'!BV39)</f>
        <v>32.056664291189875</v>
      </c>
      <c r="W36" s="6">
        <f>IF('[1]GC-TCD'!BW39="","",'[1]GC-TCD'!BW39)</f>
        <v>50.545938948322423</v>
      </c>
      <c r="X36" s="6">
        <f>IF('[1]GC-TCD'!BX39="","",'[1]GC-TCD'!BX39)</f>
        <v>17.397396760487705</v>
      </c>
      <c r="Y36">
        <v>298.54899999999998</v>
      </c>
      <c r="Z36" s="6">
        <f>IF([1]SS!AB39="","",[1]SS!AB39)</f>
        <v>7249.9999999997563</v>
      </c>
      <c r="AA36" s="6">
        <f>IF([1]SS!AG39="","",[1]SS!AG39)</f>
        <v>97.000000000000426</v>
      </c>
      <c r="AB36" s="6">
        <f>IF([1]流量!AF39="","",[1]流量!AF39)</f>
        <v>2.4461735832181395</v>
      </c>
      <c r="AC36" s="6">
        <f>IF([1]流量!AN39="","",[1]流量!AN39)</f>
        <v>1.1530491803240182</v>
      </c>
      <c r="AD36" s="4">
        <f>IF([1]氣體產量!AH39="","",[1]氣體產量!AH39)</f>
        <v>0.29524167030631415</v>
      </c>
      <c r="AE36" s="4">
        <f>IF([1]methane_yield!W39="","",[1]methane_yield!W39)</f>
        <v>8.296783601689027E-2</v>
      </c>
      <c r="AF36" s="4">
        <f>IF([1]methane_yield!AA39="","",[1]methane_yield!AA39)</f>
        <v>8.058977702304472E-2</v>
      </c>
    </row>
    <row r="37" spans="1:32">
      <c r="A37" s="1">
        <v>44871</v>
      </c>
      <c r="B37">
        <v>36</v>
      </c>
      <c r="C37" t="s">
        <v>63</v>
      </c>
      <c r="D37" s="6">
        <f>IF('[1]env-PLC'!S40="","",'[1]env-PLC'!S40)</f>
        <v>33.054169999999999</v>
      </c>
      <c r="E37" s="6">
        <f>IF('[1]env-PLC'!T40="","",'[1]env-PLC'!T40)</f>
        <v>6.34</v>
      </c>
      <c r="F37" s="6">
        <f>IF('[1]env-PLC'!U40="","",'[1]env-PLC'!U40)</f>
        <v>-443.20800000000003</v>
      </c>
      <c r="G37" s="6">
        <f>IF('[1]env-PLC'!V40="","",'[1]env-PLC'!V40)</f>
        <v>24.4</v>
      </c>
      <c r="H37" s="6">
        <f>IF([1]鹼度!L40="","",[1]鹼度!L40)</f>
        <v>1501.3000000000002</v>
      </c>
      <c r="I37" s="6">
        <f>IF([1]HPLC!CH40="","",[1]HPLC!CH40)</f>
        <v>1.647310665</v>
      </c>
      <c r="J37" s="6">
        <f>IF([1]HPLC!CI40="","",[1]HPLC!CI40)</f>
        <v>14.27775336</v>
      </c>
      <c r="K37" s="6">
        <f>IF([1]HPLC!CJ40="","",[1]HPLC!CJ40)</f>
        <v>90.267676132000005</v>
      </c>
      <c r="L37" s="6">
        <f>IF([1]HPLC!CK40="","",[1]HPLC!CK40)</f>
        <v>0</v>
      </c>
      <c r="M37" s="6">
        <f>IF([1]HPLC!CL40="","",[1]HPLC!CL40)</f>
        <v>0</v>
      </c>
      <c r="N37" s="6">
        <f>IF([1]HPLC!CM40="","",[1]HPLC!CM40)</f>
        <v>0</v>
      </c>
      <c r="O37" s="6">
        <f>IF([1]HPLC!CN40="","",[1]HPLC!CN40)</f>
        <v>152.15794578727002</v>
      </c>
      <c r="P37" s="6">
        <f>IF([1]HPLC!CO40="","",[1]HPLC!CO40)</f>
        <v>210</v>
      </c>
      <c r="Q37" s="6">
        <f>IF([1]HPLC!CP40="","",[1]HPLC!CP40)</f>
        <v>0.72456164660604772</v>
      </c>
      <c r="R37" s="6">
        <f>IF([1]HPLC!CQ40="","",[1]HPLC!CQ40)</f>
        <v>93.207234563068312</v>
      </c>
      <c r="S37" s="6">
        <f>IF([1]HPLC!CR40="","",[1]HPLC!CR40)</f>
        <v>90.625</v>
      </c>
      <c r="T37" s="5">
        <f>IF([1]氣體產量!AC40="","",[1]氣體產量!AC40)</f>
        <v>0.66575582608527151</v>
      </c>
      <c r="U37" s="3" t="str">
        <f>IF('[1]GC-TCD'!BU40="","",'[1]GC-TCD'!BU40)</f>
        <v/>
      </c>
      <c r="V37" s="6" t="str">
        <f>IF('[1]GC-TCD'!BV40="","",'[1]GC-TCD'!BV40)</f>
        <v/>
      </c>
      <c r="W37" s="6" t="str">
        <f>IF('[1]GC-TCD'!BW40="","",'[1]GC-TCD'!BW40)</f>
        <v/>
      </c>
      <c r="X37" s="6" t="str">
        <f>IF('[1]GC-TCD'!BX40="","",'[1]GC-TCD'!BX40)</f>
        <v/>
      </c>
      <c r="Y37">
        <v>318.24200000000002</v>
      </c>
      <c r="Z37" s="6">
        <f>IF([1]SS!AB40="","",[1]SS!AB40)</f>
        <v>8500.0000000001746</v>
      </c>
      <c r="AA37" s="6">
        <f>IF([1]SS!AG40="","",[1]SS!AG40)</f>
        <v>135.00000000000068</v>
      </c>
      <c r="AB37" s="6">
        <f>IF([1]流量!AF40="","",[1]流量!AF40)</f>
        <v>2.2338085699597556</v>
      </c>
      <c r="AC37" s="6">
        <f>IF([1]流量!AN40="","",[1]流量!AN40)</f>
        <v>1.0648343558284383</v>
      </c>
      <c r="AD37" s="4" t="str">
        <f>IF([1]氣體產量!AH40="","",[1]氣體產量!AH40)</f>
        <v/>
      </c>
      <c r="AE37" s="4" t="str">
        <f>IF([1]methane_yield!W40="","",[1]methane_yield!W40)</f>
        <v/>
      </c>
      <c r="AF37" s="4" t="str">
        <f>IF([1]methane_yield!AA40="","",[1]methane_yield!AA40)</f>
        <v/>
      </c>
    </row>
    <row r="38" spans="1:32">
      <c r="A38" s="1">
        <v>44872</v>
      </c>
      <c r="B38">
        <v>37</v>
      </c>
      <c r="C38" t="s">
        <v>64</v>
      </c>
      <c r="D38" s="6">
        <f>IF('[1]env-PLC'!S41="","",'[1]env-PLC'!S41)</f>
        <v>33.203846153846158</v>
      </c>
      <c r="E38" s="6">
        <f>IF('[1]env-PLC'!T41="","",'[1]env-PLC'!T41)</f>
        <v>6.3130769230769213</v>
      </c>
      <c r="F38" s="6">
        <f>IF('[1]env-PLC'!U41="","",'[1]env-PLC'!U41)</f>
        <v>-438.30769230769232</v>
      </c>
      <c r="G38" s="6">
        <f>IF('[1]env-PLC'!V41="","",'[1]env-PLC'!V41)</f>
        <v>25.7</v>
      </c>
      <c r="H38" s="6">
        <f>IF([1]鹼度!L41="","",[1]鹼度!L41)</f>
        <v>1504.65</v>
      </c>
      <c r="I38" s="6">
        <f>IF([1]HPLC!CH41="","",[1]HPLC!CH41)</f>
        <v>1.201994499</v>
      </c>
      <c r="J38" s="6">
        <f>IF([1]HPLC!CI41="","",[1]HPLC!CI41)</f>
        <v>17.711130240000003</v>
      </c>
      <c r="K38" s="6">
        <f>IF([1]HPLC!CJ41="","",[1]HPLC!CJ41)</f>
        <v>118.053215446</v>
      </c>
      <c r="L38" s="6">
        <f>IF([1]HPLC!CK41="","",[1]HPLC!CK41)</f>
        <v>2.5478300279999999</v>
      </c>
      <c r="M38" s="6">
        <f>IF([1]HPLC!CL41="","",[1]HPLC!CL41)</f>
        <v>0</v>
      </c>
      <c r="N38" s="6">
        <f>IF([1]HPLC!CM41="","",[1]HPLC!CM41)</f>
        <v>0</v>
      </c>
      <c r="O38" s="6">
        <f>IF([1]HPLC!CN41="","",[1]HPLC!CN41)</f>
        <v>202.26901340587</v>
      </c>
      <c r="P38" s="6">
        <f>IF([1]HPLC!CO41="","",[1]HPLC!CO41)</f>
        <v>270</v>
      </c>
      <c r="Q38" s="6">
        <f>IF([1]HPLC!CP41="","",[1]HPLC!CP41)</f>
        <v>0.74914449409581485</v>
      </c>
      <c r="R38" s="6">
        <f>IF([1]HPLC!CQ41="","",[1]HPLC!CQ41)</f>
        <v>90.970133330095081</v>
      </c>
      <c r="S38" s="6">
        <f>IF([1]HPLC!CR41="","",[1]HPLC!CR41)</f>
        <v>87.946428571428569</v>
      </c>
      <c r="T38" s="5">
        <f>IF([1]氣體產量!AC41="","",[1]氣體產量!AC41)</f>
        <v>0.71801332947990681</v>
      </c>
      <c r="U38" s="3" t="str">
        <f>IF('[1]GC-TCD'!BU41="","",'[1]GC-TCD'!BU41)</f>
        <v/>
      </c>
      <c r="V38" s="6" t="str">
        <f>IF('[1]GC-TCD'!BV41="","",'[1]GC-TCD'!BV41)</f>
        <v/>
      </c>
      <c r="W38" s="6" t="str">
        <f>IF('[1]GC-TCD'!BW41="","",'[1]GC-TCD'!BW41)</f>
        <v/>
      </c>
      <c r="X38" s="6" t="str">
        <f>IF('[1]GC-TCD'!BX41="","",'[1]GC-TCD'!BX41)</f>
        <v/>
      </c>
      <c r="Y38">
        <v>318.35599999999999</v>
      </c>
      <c r="Z38" s="6">
        <f>IF([1]SS!AB41="","",[1]SS!AB41)</f>
        <v>28750.000000000164</v>
      </c>
      <c r="AA38" s="6">
        <f>IF([1]SS!AG41="","",[1]SS!AG41)</f>
        <v>141.99999999999767</v>
      </c>
      <c r="AB38" s="6">
        <f>IF([1]流量!AF41="","",[1]流量!AF41)</f>
        <v>2.273307152985633</v>
      </c>
      <c r="AC38" s="6">
        <f>IF([1]流量!AN41="","",[1]流量!AN41)</f>
        <v>1.1001859070462847</v>
      </c>
      <c r="AD38" s="4" t="str">
        <f>IF([1]氣體產量!AH41="","",[1]氣體產量!AH41)</f>
        <v/>
      </c>
      <c r="AE38" s="4" t="str">
        <f>IF([1]methane_yield!W41="","",[1]methane_yield!W41)</f>
        <v/>
      </c>
      <c r="AF38" s="4" t="str">
        <f>IF([1]methane_yield!AA41="","",[1]methane_yield!AA41)</f>
        <v/>
      </c>
    </row>
    <row r="39" spans="1:32">
      <c r="A39" s="1">
        <v>44873</v>
      </c>
      <c r="B39">
        <v>38</v>
      </c>
      <c r="C39" t="s">
        <v>65</v>
      </c>
      <c r="D39" s="6">
        <f>IF('[1]env-PLC'!S42="","",'[1]env-PLC'!S42)</f>
        <v>33.345454545454551</v>
      </c>
      <c r="E39" s="6">
        <f>IF('[1]env-PLC'!T42="","",'[1]env-PLC'!T42)</f>
        <v>6.2918181818181829</v>
      </c>
      <c r="F39" s="6">
        <f>IF('[1]env-PLC'!U42="","",'[1]env-PLC'!U42)</f>
        <v>-424.22727272727275</v>
      </c>
      <c r="G39" s="6">
        <f>IF('[1]env-PLC'!V42="","",'[1]env-PLC'!V42)</f>
        <v>26.4</v>
      </c>
      <c r="H39" s="6">
        <f>IF([1]鹼度!L42="","",[1]鹼度!L42)</f>
        <v>1468.2999999999997</v>
      </c>
      <c r="I39" s="6">
        <f>IF([1]HPLC!CH42="","",[1]HPLC!CH42)</f>
        <v>1.6473639950000001</v>
      </c>
      <c r="J39" s="6">
        <f>IF([1]HPLC!CI42="","",[1]HPLC!CI42)</f>
        <v>44.454639359999994</v>
      </c>
      <c r="K39" s="6">
        <f>IF([1]HPLC!CJ42="","",[1]HPLC!CJ42)</f>
        <v>132.24258220900001</v>
      </c>
      <c r="L39" s="6">
        <f>IF([1]HPLC!CK42="","",[1]HPLC!CK42)</f>
        <v>3.03656272</v>
      </c>
      <c r="M39" s="6">
        <f>IF([1]HPLC!CL42="","",[1]HPLC!CL42)</f>
        <v>0</v>
      </c>
      <c r="N39" s="6">
        <f>IF([1]HPLC!CM42="","",[1]HPLC!CM42)</f>
        <v>2.4916572959999996</v>
      </c>
      <c r="O39" s="6">
        <f>IF([1]HPLC!CN42="","",[1]HPLC!CN42)</f>
        <v>258.43886568328003</v>
      </c>
      <c r="P39" s="6">
        <f>IF([1]HPLC!CO42="","",[1]HPLC!CO42)</f>
        <v>330</v>
      </c>
      <c r="Q39" s="6">
        <f>IF([1]HPLC!CP42="","",[1]HPLC!CP42)</f>
        <v>0.78314807782812135</v>
      </c>
      <c r="R39" s="6">
        <f>IF([1]HPLC!CQ42="","",[1]HPLC!CQ42)</f>
        <v>88.46255063913928</v>
      </c>
      <c r="S39" s="6">
        <f>IF([1]HPLC!CR42="","",[1]HPLC!CR42)</f>
        <v>85.267857142857139</v>
      </c>
      <c r="T39" s="5">
        <f>IF([1]氣體產量!AC42="","",[1]氣體產量!AC42)</f>
        <v>0.46623896681470273</v>
      </c>
      <c r="U39" s="3">
        <f>IF('[1]GC-TCD'!BU42="","",'[1]GC-TCD'!BU42)</f>
        <v>0</v>
      </c>
      <c r="V39" s="6">
        <f>IF('[1]GC-TCD'!BV42="","",'[1]GC-TCD'!BV42)</f>
        <v>18.313374908246267</v>
      </c>
      <c r="W39" s="6">
        <f>IF('[1]GC-TCD'!BW42="","",'[1]GC-TCD'!BW42)</f>
        <v>55.173732024875989</v>
      </c>
      <c r="X39" s="6">
        <f>IF('[1]GC-TCD'!BX42="","",'[1]GC-TCD'!BX42)</f>
        <v>26.512893066877748</v>
      </c>
      <c r="Y39">
        <v>267.00700000000001</v>
      </c>
      <c r="Z39" s="6">
        <f>IF([1]SS!AB42="","",[1]SS!AB42)</f>
        <v>21250.000000000433</v>
      </c>
      <c r="AA39" s="6">
        <f>IF([1]SS!AG42="","",[1]SS!AG42)</f>
        <v>140.00000000000233</v>
      </c>
      <c r="AB39" s="6">
        <f>IF([1]流量!AF42="","",[1]流量!AF42)</f>
        <v>2.247838966592429</v>
      </c>
      <c r="AC39" s="6">
        <f>IF([1]流量!AN42="","",[1]流量!AN42)</f>
        <v>1.1031463748302313</v>
      </c>
      <c r="AD39" s="4">
        <f>IF([1]氣體產量!AH42="","",[1]氣體產量!AH42)</f>
        <v>0.25724143814589456</v>
      </c>
      <c r="AE39" s="4">
        <f>IF([1]methane_yield!W42="","",[1]methane_yield!W42)</f>
        <v>7.4181464788683621E-2</v>
      </c>
      <c r="AF39" s="4">
        <f>IF([1]methane_yield!AA42="","",[1]methane_yield!AA42)</f>
        <v>7.5314792722871227E-2</v>
      </c>
    </row>
    <row r="40" spans="1:32">
      <c r="A40" s="1">
        <v>44874</v>
      </c>
      <c r="B40">
        <v>39</v>
      </c>
      <c r="C40" t="s">
        <v>66</v>
      </c>
      <c r="D40" s="6">
        <f>IF('[1]env-PLC'!S43="","",'[1]env-PLC'!S43)</f>
        <v>33.177272727272722</v>
      </c>
      <c r="E40" s="6">
        <f>IF('[1]env-PLC'!T43="","",'[1]env-PLC'!T43)</f>
        <v>6.3127272727272716</v>
      </c>
      <c r="F40" s="6">
        <f>IF('[1]env-PLC'!U43="","",'[1]env-PLC'!U43)</f>
        <v>-439.63636363636363</v>
      </c>
      <c r="G40" s="6">
        <f>IF('[1]env-PLC'!V43="","",'[1]env-PLC'!V43)</f>
        <v>26.4</v>
      </c>
      <c r="H40" s="6">
        <f>IF([1]鹼度!L43="","",[1]鹼度!L43)</f>
        <v>1472</v>
      </c>
      <c r="I40" s="6">
        <f>IF([1]HPLC!CH43="","",[1]HPLC!CH43)</f>
        <v>1.762892774</v>
      </c>
      <c r="J40" s="6">
        <f>IF([1]HPLC!CI43="","",[1]HPLC!CI43)</f>
        <v>39.785226479999999</v>
      </c>
      <c r="K40" s="6">
        <f>IF([1]HPLC!CJ43="","",[1]HPLC!CJ43)</f>
        <v>165.12716259999999</v>
      </c>
      <c r="L40" s="6">
        <f>IF([1]HPLC!CK43="","",[1]HPLC!CK43)</f>
        <v>3.437648926</v>
      </c>
      <c r="M40" s="6">
        <f>IF([1]HPLC!CL43="","",[1]HPLC!CL43)</f>
        <v>0</v>
      </c>
      <c r="N40" s="6">
        <f>IF([1]HPLC!CM43="","",[1]HPLC!CM43)</f>
        <v>2.1540330159999996</v>
      </c>
      <c r="O40" s="6">
        <f>IF([1]HPLC!CN43="","",[1]HPLC!CN43)</f>
        <v>303.17996872845998</v>
      </c>
      <c r="P40" s="6">
        <f>IF([1]HPLC!CO43="","",[1]HPLC!CO43)</f>
        <v>340</v>
      </c>
      <c r="Q40" s="6">
        <f>IF([1]HPLC!CP43="","",[1]HPLC!CP43)</f>
        <v>0.89170579037782349</v>
      </c>
      <c r="R40" s="6">
        <f>IF([1]HPLC!CQ43="","",[1]HPLC!CQ43)</f>
        <v>86.465179967479472</v>
      </c>
      <c r="S40" s="6">
        <f>IF([1]HPLC!CR43="","",[1]HPLC!CR43)</f>
        <v>84.821428571428569</v>
      </c>
      <c r="T40" s="5">
        <f>IF([1]氣體產量!AC43="","",[1]氣體產量!AC43)</f>
        <v>0.62516411369504399</v>
      </c>
      <c r="U40" s="3">
        <f>IF('[1]GC-TCD'!BU43="","",'[1]GC-TCD'!BU43)</f>
        <v>0</v>
      </c>
      <c r="V40" s="6">
        <f>IF('[1]GC-TCD'!BV43="","",'[1]GC-TCD'!BV43)</f>
        <v>15.487575916317779</v>
      </c>
      <c r="W40" s="6">
        <f>IF('[1]GC-TCD'!BW43="","",'[1]GC-TCD'!BW43)</f>
        <v>56.987840852604542</v>
      </c>
      <c r="X40" s="6">
        <f>IF('[1]GC-TCD'!BX43="","",'[1]GC-TCD'!BX43)</f>
        <v>27.524583231077678</v>
      </c>
      <c r="Y40">
        <v>267.31200000000001</v>
      </c>
      <c r="Z40" s="6">
        <f>IF([1]SS!AB43="","",[1]SS!AB43)</f>
        <v>20999.999999999909</v>
      </c>
      <c r="AA40" s="6">
        <f>IF([1]SS!AG43="","",[1]SS!AG43)</f>
        <v>1324.0000000000007</v>
      </c>
      <c r="AB40" s="6">
        <f>IF([1]流量!AF43="","",[1]流量!AF43)</f>
        <v>2.3782121306488007</v>
      </c>
      <c r="AC40" s="6">
        <f>IF([1]流量!AN43="","",[1]流量!AN43)</f>
        <v>1.1001518987309349</v>
      </c>
      <c r="AD40" s="4">
        <f>IF([1]氣體產量!AH43="","",[1]氣體產量!AH43)</f>
        <v>0.35626753018012736</v>
      </c>
      <c r="AE40" s="4">
        <f>IF([1]methane_yield!W43="","",[1]methane_yield!W43)</f>
        <v>0.10511118355357081</v>
      </c>
      <c r="AF40" s="4">
        <f>IF([1]methane_yield!AA43="","",[1]methane_yield!AA43)</f>
        <v>0.10700751933964647</v>
      </c>
    </row>
    <row r="41" spans="1:32">
      <c r="A41" s="1">
        <v>44875</v>
      </c>
      <c r="B41">
        <v>40</v>
      </c>
      <c r="C41" t="s">
        <v>67</v>
      </c>
      <c r="D41" s="6">
        <f>IF('[1]env-PLC'!S44="","",'[1]env-PLC'!S44)</f>
        <v>33.277272727272738</v>
      </c>
      <c r="E41" s="6">
        <f>IF('[1]env-PLC'!T44="","",'[1]env-PLC'!T44)</f>
        <v>6.3245454545454525</v>
      </c>
      <c r="F41" s="6">
        <f>IF('[1]env-PLC'!U44="","",'[1]env-PLC'!U44)</f>
        <v>-441</v>
      </c>
      <c r="G41" s="6">
        <f>IF('[1]env-PLC'!V44="","",'[1]env-PLC'!V44)</f>
        <v>26.3</v>
      </c>
      <c r="H41" s="6">
        <f>IF([1]鹼度!L44="","",[1]鹼度!L44)</f>
        <v>1457</v>
      </c>
      <c r="I41" s="6">
        <f>IF([1]HPLC!CH44="","",[1]HPLC!CH44)</f>
        <v>2.2551713379999998</v>
      </c>
      <c r="J41" s="6">
        <f>IF([1]HPLC!CI44="","",[1]HPLC!CI44)</f>
        <v>32.898438599999992</v>
      </c>
      <c r="K41" s="6">
        <f>IF([1]HPLC!CJ44="","",[1]HPLC!CJ44)</f>
        <v>151.15120062600002</v>
      </c>
      <c r="L41" s="6">
        <f>IF([1]HPLC!CK44="","",[1]HPLC!CK44)</f>
        <v>5.6450662400000002</v>
      </c>
      <c r="M41" s="6">
        <f>IF([1]HPLC!CL44="","",[1]HPLC!CL44)</f>
        <v>0</v>
      </c>
      <c r="N41" s="6">
        <f>IF([1]HPLC!CM44="","",[1]HPLC!CM44)</f>
        <v>1.8375439120000001</v>
      </c>
      <c r="O41" s="6">
        <f>IF([1]HPLC!CN44="","",[1]HPLC!CN44)</f>
        <v>278.25156235283998</v>
      </c>
      <c r="P41" s="6">
        <f>IF([1]HPLC!CO44="","",[1]HPLC!CO44)</f>
        <v>380</v>
      </c>
      <c r="Q41" s="6">
        <f>IF([1]HPLC!CP44="","",[1]HPLC!CP44)</f>
        <v>0.73224095356010521</v>
      </c>
      <c r="R41" s="6">
        <f>IF([1]HPLC!CQ44="","",[1]HPLC!CQ44)</f>
        <v>87.578055252105358</v>
      </c>
      <c r="S41" s="6">
        <f>IF([1]HPLC!CR44="","",[1]HPLC!CR44)</f>
        <v>83.035714285714292</v>
      </c>
      <c r="T41" s="5">
        <f>IF([1]氣體產量!AC44="","",[1]氣體產量!AC44)</f>
        <v>0.51365989599519746</v>
      </c>
      <c r="U41" s="3">
        <f>IF('[1]GC-TCD'!BU44="","",'[1]GC-TCD'!BU44)</f>
        <v>0</v>
      </c>
      <c r="V41" s="6">
        <f>IF('[1]GC-TCD'!BV44="","",'[1]GC-TCD'!BV44)</f>
        <v>15.727624090907769</v>
      </c>
      <c r="W41" s="6">
        <f>IF('[1]GC-TCD'!BW44="","",'[1]GC-TCD'!BW44)</f>
        <v>57.500113192161237</v>
      </c>
      <c r="X41" s="6">
        <f>IF('[1]GC-TCD'!BX44="","",'[1]GC-TCD'!BX44)</f>
        <v>26.772262716930989</v>
      </c>
      <c r="Y41">
        <v>344.291</v>
      </c>
      <c r="Z41" s="6">
        <f>IF([1]SS!AB44="","",[1]SS!AB44)</f>
        <v>15499.999999999958</v>
      </c>
      <c r="AA41" s="6">
        <f>IF([1]SS!AG44="","",[1]SS!AG44)</f>
        <v>160.00000000000014</v>
      </c>
      <c r="AB41" s="6">
        <f>IF([1]流量!AF44="","",[1]流量!AF44)</f>
        <v>2.2806583422047564</v>
      </c>
      <c r="AC41" s="6">
        <f>IF([1]流量!AN44="","",[1]流量!AN44)</f>
        <v>1.1036325678491503</v>
      </c>
      <c r="AD41" s="4">
        <f>IF([1]氣體產量!AH44="","",[1]氣體產量!AH44)</f>
        <v>0.29535502161997623</v>
      </c>
      <c r="AE41" s="4">
        <f>IF([1]methane_yield!W44="","",[1]methane_yield!W44)</f>
        <v>8.6032589515391056E-2</v>
      </c>
      <c r="AF41" s="4">
        <f>IF([1]methane_yield!AA44="","",[1]methane_yield!AA44)</f>
        <v>8.7308496563331242E-2</v>
      </c>
    </row>
    <row r="42" spans="1:32">
      <c r="A42" s="1">
        <v>44876</v>
      </c>
      <c r="B42">
        <v>41</v>
      </c>
      <c r="C42" t="s">
        <v>68</v>
      </c>
      <c r="D42" s="6">
        <f>IF('[1]env-PLC'!S45="","",'[1]env-PLC'!S45)</f>
        <v>32.413636363636364</v>
      </c>
      <c r="E42" s="6">
        <f>IF('[1]env-PLC'!T45="","",'[1]env-PLC'!T45)</f>
        <v>6.3336363636363613</v>
      </c>
      <c r="F42" s="6">
        <f>IF('[1]env-PLC'!U45="","",'[1]env-PLC'!U45)</f>
        <v>-442.31818181818181</v>
      </c>
      <c r="G42" s="6">
        <f>IF('[1]env-PLC'!V45="","",'[1]env-PLC'!V45)</f>
        <v>27.4</v>
      </c>
      <c r="H42" s="6">
        <f>IF([1]鹼度!L45="","",[1]鹼度!L45)</f>
        <v>1478.9</v>
      </c>
      <c r="I42" s="6">
        <f>IF([1]HPLC!CH45="","",[1]HPLC!CH45)</f>
        <v>2.2141605679999996</v>
      </c>
      <c r="J42" s="6">
        <f>IF([1]HPLC!CI45="","",[1]HPLC!CI45)</f>
        <v>23.54952132</v>
      </c>
      <c r="K42" s="6">
        <f>IF([1]HPLC!CJ45="","",[1]HPLC!CJ45)</f>
        <v>102.891861199</v>
      </c>
      <c r="L42" s="6">
        <f>IF([1]HPLC!CK45="","",[1]HPLC!CK45)</f>
        <v>5.1351250619999993</v>
      </c>
      <c r="M42" s="6">
        <f>IF([1]HPLC!CL45="","",[1]HPLC!CL45)</f>
        <v>0</v>
      </c>
      <c r="N42" s="6">
        <f>IF([1]HPLC!CM45="","",[1]HPLC!CM45)</f>
        <v>1.6317003360000002</v>
      </c>
      <c r="O42" s="6">
        <f>IF([1]HPLC!CN45="","",[1]HPLC!CN45)</f>
        <v>194.01425071996999</v>
      </c>
      <c r="P42" s="6">
        <f>IF([1]HPLC!CO45="","",[1]HPLC!CO45)</f>
        <v>190</v>
      </c>
      <c r="Q42" s="6">
        <f>IF([1]HPLC!CP45="","",[1]HPLC!CP45)</f>
        <v>1.0211276353682632</v>
      </c>
      <c r="R42" s="6">
        <f>IF([1]HPLC!CQ45="","",[1]HPLC!CQ45)</f>
        <v>91.3386495214299</v>
      </c>
      <c r="S42" s="6">
        <f>IF([1]HPLC!CR45="","",[1]HPLC!CR45)</f>
        <v>91.517857142857139</v>
      </c>
      <c r="T42" s="5">
        <f>IF([1]氣體產量!AC45="","",[1]氣體產量!AC45)</f>
        <v>0.53165290848644531</v>
      </c>
      <c r="U42" s="3">
        <f>IF('[1]GC-TCD'!BU45="","",'[1]GC-TCD'!BU45)</f>
        <v>0</v>
      </c>
      <c r="V42" s="6">
        <f>IF('[1]GC-TCD'!BV45="","",'[1]GC-TCD'!BV45)</f>
        <v>14.225894006777699</v>
      </c>
      <c r="W42" s="6">
        <f>IF('[1]GC-TCD'!BW45="","",'[1]GC-TCD'!BW45)</f>
        <v>57.871654137970715</v>
      </c>
      <c r="X42" s="6">
        <f>IF('[1]GC-TCD'!BX45="","",'[1]GC-TCD'!BX45)</f>
        <v>27.902451855251591</v>
      </c>
      <c r="Y42">
        <v>284.25599999999997</v>
      </c>
      <c r="Z42" s="6">
        <f>IF([1]SS!AB45="","",[1]SS!AB45)</f>
        <v>23000.00000000024</v>
      </c>
      <c r="AA42" s="6">
        <f>IF([1]SS!AG45="","",[1]SS!AG45)</f>
        <v>198.0000000000004</v>
      </c>
      <c r="AB42" s="6">
        <f>IF([1]流量!AF45="","",[1]流量!AF45)</f>
        <v>2.2854477611777404</v>
      </c>
      <c r="AC42" s="6">
        <f>IF([1]流量!AN45="","",[1]流量!AN45)</f>
        <v>1.0740388768887685</v>
      </c>
      <c r="AD42" s="4">
        <f>IF([1]氣體產量!AH45="","",[1]氣體產量!AH45)</f>
        <v>0.3076763324137376</v>
      </c>
      <c r="AE42" s="4">
        <f>IF([1]methane_yield!W45="","",[1]methane_yield!W45)</f>
        <v>8.593170658956574E-2</v>
      </c>
      <c r="AF42" s="4">
        <f>IF([1]methane_yield!AA45="","",[1]methane_yield!AA45)</f>
        <v>8.9608964304074223E-2</v>
      </c>
    </row>
    <row r="43" spans="1:32">
      <c r="A43" s="1">
        <v>44877</v>
      </c>
      <c r="B43">
        <v>42</v>
      </c>
      <c r="C43" t="s">
        <v>69</v>
      </c>
      <c r="D43" s="6">
        <f>IF('[1]env-PLC'!S46="","",'[1]env-PLC'!S46)</f>
        <v>32.131578947368418</v>
      </c>
      <c r="E43" s="6">
        <f>IF('[1]env-PLC'!T46="","",'[1]env-PLC'!T46)</f>
        <v>6.3410526315789495</v>
      </c>
      <c r="F43" s="6">
        <f>IF('[1]env-PLC'!U46="","",'[1]env-PLC'!U46)</f>
        <v>-418.89473684210526</v>
      </c>
      <c r="G43" s="6">
        <f>IF('[1]env-PLC'!V46="","",'[1]env-PLC'!V46)</f>
        <v>28.5</v>
      </c>
      <c r="H43" s="6">
        <f>IF([1]鹼度!L46="","",[1]鹼度!L46)</f>
        <v>1494.3500000000001</v>
      </c>
      <c r="I43" s="6">
        <f>IF([1]HPLC!CH46="","",[1]HPLC!CH46)</f>
        <v>1.2773977859999999</v>
      </c>
      <c r="J43" s="6">
        <f>IF([1]HPLC!CI46="","",[1]HPLC!CI46)</f>
        <v>32.830758840000001</v>
      </c>
      <c r="K43" s="6">
        <f>IF([1]HPLC!CJ46="","",[1]HPLC!CJ46)</f>
        <v>89.302049392000001</v>
      </c>
      <c r="L43" s="6">
        <f>IF([1]HPLC!CK46="","",[1]HPLC!CK46)</f>
        <v>4.9369109799999995</v>
      </c>
      <c r="M43" s="6">
        <f>IF([1]HPLC!CL46="","",[1]HPLC!CL46)</f>
        <v>0</v>
      </c>
      <c r="N43" s="6">
        <f>IF([1]HPLC!CM46="","",[1]HPLC!CM46)</f>
        <v>2.1891323359999997</v>
      </c>
      <c r="O43" s="6">
        <f>IF([1]HPLC!CN46="","",[1]HPLC!CN46)</f>
        <v>183.87310371486004</v>
      </c>
      <c r="P43" s="6">
        <f>IF([1]HPLC!CO46="","",[1]HPLC!CO46)</f>
        <v>250</v>
      </c>
      <c r="Q43" s="6">
        <f>IF([1]HPLC!CP46="","",[1]HPLC!CP46)</f>
        <v>0.73549241485944017</v>
      </c>
      <c r="R43" s="6">
        <f>IF([1]HPLC!CQ46="","",[1]HPLC!CQ46)</f>
        <v>91.791379298443758</v>
      </c>
      <c r="S43" s="6">
        <f>IF([1]HPLC!CR46="","",[1]HPLC!CR46)</f>
        <v>88.839285714285708</v>
      </c>
      <c r="T43" s="5">
        <f>IF([1]氣體產量!AC46="","",[1]氣體產量!AC46)</f>
        <v>0.43228810670587048</v>
      </c>
      <c r="U43" s="3">
        <f>IF('[1]GC-TCD'!BU46="","",'[1]GC-TCD'!BU46)</f>
        <v>0</v>
      </c>
      <c r="V43" s="6">
        <f>IF('[1]GC-TCD'!BV46="","",'[1]GC-TCD'!BV46)</f>
        <v>13.898811174559031</v>
      </c>
      <c r="W43" s="6">
        <f>IF('[1]GC-TCD'!BW46="","",'[1]GC-TCD'!BW46)</f>
        <v>58.327057732160405</v>
      </c>
      <c r="X43" s="6">
        <f>IF('[1]GC-TCD'!BX46="","",'[1]GC-TCD'!BX46)</f>
        <v>27.774131093280563</v>
      </c>
      <c r="Y43">
        <v>237.791</v>
      </c>
      <c r="Z43" s="6">
        <f>IF([1]SS!AB46="","",[1]SS!AB46)</f>
        <v>19000.000000000127</v>
      </c>
      <c r="AA43" s="6">
        <f>IF([1]SS!AG46="","",[1]SS!AG46)</f>
        <v>240.00000000000023</v>
      </c>
      <c r="AB43" s="6">
        <f>IF([1]流量!AF46="","",[1]流量!AF46)</f>
        <v>2.4810697599615743</v>
      </c>
      <c r="AC43" s="6">
        <f>IF([1]流量!AN46="","",[1]流量!AN46)</f>
        <v>1.119585951941332</v>
      </c>
      <c r="AD43" s="4">
        <f>IF([1]氣體產量!AH46="","",[1]氣體產量!AH46)</f>
        <v>0.25214093356759626</v>
      </c>
      <c r="AE43" s="4">
        <f>IF([1]methane_yield!W46="","",[1]methane_yield!W46)</f>
        <v>7.0073755529151446E-2</v>
      </c>
      <c r="AF43" s="4">
        <f>IF([1]methane_yield!AA46="","",[1]methane_yield!AA46)</f>
        <v>7.0099670379538875E-2</v>
      </c>
    </row>
    <row r="44" spans="1:32">
      <c r="A44" s="1">
        <v>44878</v>
      </c>
      <c r="B44">
        <v>43</v>
      </c>
      <c r="C44" t="s">
        <v>70</v>
      </c>
      <c r="D44" s="6">
        <f>IF('[1]env-PLC'!S47="","",'[1]env-PLC'!S47)</f>
        <v>33.494736842105276</v>
      </c>
      <c r="E44" s="6">
        <f>IF('[1]env-PLC'!T47="","",'[1]env-PLC'!T47)</f>
        <v>6.3247368421052608</v>
      </c>
      <c r="F44" s="6">
        <f>IF('[1]env-PLC'!U47="","",'[1]env-PLC'!U47)</f>
        <v>-434.68421052631578</v>
      </c>
      <c r="G44" s="6">
        <f>IF('[1]env-PLC'!V47="","",'[1]env-PLC'!V47)</f>
        <v>29.1</v>
      </c>
      <c r="H44" s="6">
        <f>IF([1]鹼度!L47="","",[1]鹼度!L47)</f>
        <v>1480.7</v>
      </c>
      <c r="I44" s="6">
        <f>IF([1]HPLC!CH47="","",[1]HPLC!CH47)</f>
        <v>2.1076712239999997</v>
      </c>
      <c r="J44" s="6">
        <f>IF([1]HPLC!CI47="","",[1]HPLC!CI47)</f>
        <v>30.110148120000002</v>
      </c>
      <c r="K44" s="6">
        <f>IF([1]HPLC!CJ47="","",[1]HPLC!CJ47)</f>
        <v>89.72461847400001</v>
      </c>
      <c r="L44" s="6">
        <f>IF([1]HPLC!CK47="","",[1]HPLC!CK47)</f>
        <v>4.5859337900000003</v>
      </c>
      <c r="M44" s="6">
        <f>IF([1]HPLC!CL47="","",[1]HPLC!CL47)</f>
        <v>0</v>
      </c>
      <c r="N44" s="6">
        <f>IF([1]HPLC!CM47="","",[1]HPLC!CM47)</f>
        <v>2.0978835519999999</v>
      </c>
      <c r="O44" s="6">
        <f>IF([1]HPLC!CN47="","",[1]HPLC!CN47)</f>
        <v>181.06579925642001</v>
      </c>
      <c r="P44" s="6">
        <f>IF([1]HPLC!CO47="","",[1]HPLC!CO47)</f>
        <v>270</v>
      </c>
      <c r="Q44" s="6">
        <f>IF([1]HPLC!CP47="","",[1]HPLC!CP47)</f>
        <v>0.67061407132007411</v>
      </c>
      <c r="R44" s="6">
        <f>IF([1]HPLC!CQ47="","",[1]HPLC!CQ47)</f>
        <v>91.916705390338379</v>
      </c>
      <c r="S44" s="6">
        <f>IF([1]HPLC!CR47="","",[1]HPLC!CR47)</f>
        <v>87.946428571428569</v>
      </c>
      <c r="T44" s="5">
        <f>IF([1]氣體產量!AC47="","",[1]氣體產量!AC47)</f>
        <v>0.54727469433083253</v>
      </c>
      <c r="U44" s="3">
        <f>IF('[1]GC-TCD'!BU47="","",'[1]GC-TCD'!BU47)</f>
        <v>0</v>
      </c>
      <c r="V44" s="6">
        <f>IF('[1]GC-TCD'!BV47="","",'[1]GC-TCD'!BV47)</f>
        <v>13.86705400627414</v>
      </c>
      <c r="W44" s="6">
        <f>IF('[1]GC-TCD'!BW47="","",'[1]GC-TCD'!BW47)</f>
        <v>59.278273427871028</v>
      </c>
      <c r="X44" s="6">
        <f>IF('[1]GC-TCD'!BX47="","",'[1]GC-TCD'!BX47)</f>
        <v>26.854672565854841</v>
      </c>
      <c r="Y44">
        <v>321.18799999999999</v>
      </c>
      <c r="Z44" s="6">
        <f>IF([1]SS!AB47="","",[1]SS!AB47)</f>
        <v>19250.000000000098</v>
      </c>
      <c r="AA44" s="6">
        <f>IF([1]SS!AG47="","",[1]SS!AG47)</f>
        <v>154.0000000000008</v>
      </c>
      <c r="AB44" s="6">
        <f>IF([1]流量!AF47="","",[1]流量!AF47)</f>
        <v>2.3014233241559419</v>
      </c>
      <c r="AC44" s="6">
        <f>IF([1]流量!AN47="","",[1]流量!AN47)</f>
        <v>1.0892091205170424</v>
      </c>
      <c r="AD44" s="4">
        <f>IF([1]氣體產量!AH47="","",[1]氣體產量!AH47)</f>
        <v>0.3244149897069763</v>
      </c>
      <c r="AE44" s="4">
        <f>IF([1]methane_yield!W47="","",[1]methane_yield!W47)</f>
        <v>9.0036871528639706E-2</v>
      </c>
      <c r="AF44" s="4">
        <f>IF([1]methane_yield!AA47="","",[1]methane_yield!AA47)</f>
        <v>9.2582126069792353E-2</v>
      </c>
    </row>
    <row r="45" spans="1:32">
      <c r="A45" s="1">
        <v>44879</v>
      </c>
      <c r="B45">
        <v>44</v>
      </c>
      <c r="C45" t="s">
        <v>71</v>
      </c>
      <c r="D45" s="6">
        <f>IF('[1]env-PLC'!S48="","",'[1]env-PLC'!S48)</f>
        <v>32.83846153846153</v>
      </c>
      <c r="E45" s="6">
        <f>IF('[1]env-PLC'!T48="","",'[1]env-PLC'!T48)</f>
        <v>6.3692307692307688</v>
      </c>
      <c r="F45" s="6">
        <f>IF('[1]env-PLC'!U48="","",'[1]env-PLC'!U48)</f>
        <v>-431.5</v>
      </c>
      <c r="G45" s="6">
        <f>IF('[1]env-PLC'!V48="","",'[1]env-PLC'!V48)</f>
        <v>29.1</v>
      </c>
      <c r="H45" s="6">
        <f>IF([1]鹼度!L48="","",[1]鹼度!L48)</f>
        <v>1507.2</v>
      </c>
      <c r="I45" s="6">
        <f>IF([1]HPLC!CH48="","",[1]HPLC!CH48)</f>
        <v>1.7222766460000001</v>
      </c>
      <c r="J45" s="6">
        <f>IF([1]HPLC!CI48="","",[1]HPLC!CI48)</f>
        <v>29.26631484</v>
      </c>
      <c r="K45" s="6">
        <f>IF([1]HPLC!CJ48="","",[1]HPLC!CJ48)</f>
        <v>84.670267107000015</v>
      </c>
      <c r="L45" s="6">
        <f>IF([1]HPLC!CK48="","",[1]HPLC!CK48)</f>
        <v>4.7843250399999997</v>
      </c>
      <c r="M45" s="6">
        <f>IF([1]HPLC!CL48="","",[1]HPLC!CL48)</f>
        <v>0</v>
      </c>
      <c r="N45" s="6">
        <f>IF([1]HPLC!CM48="","",[1]HPLC!CM48)</f>
        <v>1.631124008</v>
      </c>
      <c r="O45" s="6">
        <f>IF([1]HPLC!CN48="","",[1]HPLC!CN48)</f>
        <v>171.80482158559002</v>
      </c>
      <c r="P45" s="6">
        <f>IF([1]HPLC!CO48="","",[1]HPLC!CO48)</f>
        <v>330</v>
      </c>
      <c r="Q45" s="6">
        <f>IF([1]HPLC!CP48="","",[1]HPLC!CP48)</f>
        <v>0.52062067147148494</v>
      </c>
      <c r="R45" s="6">
        <f>IF([1]HPLC!CQ48="","",[1]HPLC!CQ48)</f>
        <v>92.330141893500439</v>
      </c>
      <c r="S45" s="6">
        <f>IF([1]HPLC!CR48="","",[1]HPLC!CR48)</f>
        <v>85.267857142857139</v>
      </c>
      <c r="T45" s="5">
        <f>IF([1]氣體產量!AC48="","",[1]氣體產量!AC48)</f>
        <v>0.51020618455852651</v>
      </c>
      <c r="U45" s="3">
        <f>IF('[1]GC-TCD'!BU48="","",'[1]GC-TCD'!BU48)</f>
        <v>0</v>
      </c>
      <c r="V45" s="6">
        <f>IF('[1]GC-TCD'!BV48="","",'[1]GC-TCD'!BV48)</f>
        <v>16.239981349637922</v>
      </c>
      <c r="W45" s="6">
        <f>IF('[1]GC-TCD'!BW48="","",'[1]GC-TCD'!BW48)</f>
        <v>58.4862258904976</v>
      </c>
      <c r="X45" s="6">
        <f>IF('[1]GC-TCD'!BX48="","",'[1]GC-TCD'!BX48)</f>
        <v>25.273792759864477</v>
      </c>
      <c r="Y45">
        <v>222.34399999999999</v>
      </c>
      <c r="Z45" s="6">
        <f>IF([1]SS!AB48="","",[1]SS!AB48)</f>
        <v>18250.000000000211</v>
      </c>
      <c r="AA45" s="6">
        <f>IF([1]SS!AG48="","",[1]SS!AG48)</f>
        <v>161.99999999999991</v>
      </c>
      <c r="AB45" s="6">
        <f>IF([1]流量!AF48="","",[1]流量!AF48)</f>
        <v>2.2910152178398144</v>
      </c>
      <c r="AC45" s="6">
        <f>IF([1]流量!AN48="","",[1]流量!AN48)</f>
        <v>1.1134219474535747</v>
      </c>
      <c r="AD45" s="4">
        <f>IF([1]氣體產量!AH48="","",[1]氣體產量!AH48)</f>
        <v>0.2984003416081889</v>
      </c>
      <c r="AE45" s="4">
        <f>IF([1]methane_yield!W48="","",[1]methane_yield!W48)</f>
        <v>8.2446029610073204E-2</v>
      </c>
      <c r="AF45" s="4">
        <f>IF([1]methane_yield!AA48="","",[1]methane_yield!AA48)</f>
        <v>8.2933117471291978E-2</v>
      </c>
    </row>
    <row r="46" spans="1:32">
      <c r="A46" s="1">
        <v>44880</v>
      </c>
      <c r="B46">
        <v>45</v>
      </c>
      <c r="C46" t="s">
        <v>72</v>
      </c>
      <c r="D46" s="6">
        <f>IF('[1]env-PLC'!S49="","",'[1]env-PLC'!S49)</f>
        <v>33.268421052631574</v>
      </c>
      <c r="E46" s="6">
        <f>IF('[1]env-PLC'!T49="","",'[1]env-PLC'!T49)</f>
        <v>6.4031578947368422</v>
      </c>
      <c r="F46" s="6">
        <f>IF('[1]env-PLC'!U49="","",'[1]env-PLC'!U49)</f>
        <v>-426.10526315789474</v>
      </c>
      <c r="G46" s="6">
        <f>IF('[1]env-PLC'!V49="","",'[1]env-PLC'!V49)</f>
        <v>29.7</v>
      </c>
      <c r="H46" s="6">
        <f>IF([1]鹼度!L49="","",[1]鹼度!L49)</f>
        <v>1531.75</v>
      </c>
      <c r="I46" s="6">
        <f>IF([1]HPLC!CH49="","",[1]HPLC!CH49)</f>
        <v>1.6281971930000001</v>
      </c>
      <c r="J46" s="6">
        <f>IF([1]HPLC!CI49="","",[1]HPLC!CI49)</f>
        <v>34.394865600000003</v>
      </c>
      <c r="K46" s="6">
        <f>IF([1]HPLC!CJ49="","",[1]HPLC!CJ49)</f>
        <v>76.697028808000013</v>
      </c>
      <c r="L46" s="6">
        <f>IF([1]HPLC!CK49="","",[1]HPLC!CK49)</f>
        <v>4.3713242860000001</v>
      </c>
      <c r="M46" s="6">
        <f>IF([1]HPLC!CL49="","",[1]HPLC!CL49)</f>
        <v>0</v>
      </c>
      <c r="N46" s="6">
        <f>IF([1]HPLC!CM49="","",[1]HPLC!CM49)</f>
        <v>2.2085196319999998</v>
      </c>
      <c r="O46" s="6">
        <f>IF([1]HPLC!CN49="","",[1]HPLC!CN49)</f>
        <v>165.64607895943001</v>
      </c>
      <c r="P46" s="6">
        <f>IF([1]HPLC!CO49="","",[1]HPLC!CO49)</f>
        <v>220</v>
      </c>
      <c r="Q46" s="6">
        <f>IF([1]HPLC!CP49="","",[1]HPLC!CP49)</f>
        <v>0.7529367225428637</v>
      </c>
      <c r="R46" s="6">
        <f>IF([1]HPLC!CQ49="","",[1]HPLC!CQ49)</f>
        <v>92.60508576073974</v>
      </c>
      <c r="S46" s="6">
        <f>IF([1]HPLC!CR49="","",[1]HPLC!CR49)</f>
        <v>90.178571428571431</v>
      </c>
      <c r="T46" s="5">
        <f>IF([1]氣體產量!AC49="","",[1]氣體產量!AC49)</f>
        <v>0.62999333086893483</v>
      </c>
      <c r="U46" s="3">
        <f>IF('[1]GC-TCD'!BU49="","",'[1]GC-TCD'!BU49)</f>
        <v>0</v>
      </c>
      <c r="V46" s="6">
        <f>IF('[1]GC-TCD'!BV49="","",'[1]GC-TCD'!BV49)</f>
        <v>15.951455546076437</v>
      </c>
      <c r="W46" s="6">
        <f>IF('[1]GC-TCD'!BW49="","",'[1]GC-TCD'!BW49)</f>
        <v>58.870192783575014</v>
      </c>
      <c r="X46" s="6">
        <f>IF('[1]GC-TCD'!BX49="","",'[1]GC-TCD'!BX49)</f>
        <v>25.178351670348558</v>
      </c>
      <c r="Y46">
        <v>227.85599999999999</v>
      </c>
      <c r="Z46" s="6">
        <f>IF([1]SS!AB49="","",[1]SS!AB49)</f>
        <v>23250.000000000215</v>
      </c>
      <c r="AA46" s="6">
        <f>IF([1]SS!AG49="","",[1]SS!AG49)</f>
        <v>225.99999999999733</v>
      </c>
      <c r="AB46" s="6">
        <f>IF([1]流量!AF49="","",[1]流量!AF49)</f>
        <v>2.3000081380324389</v>
      </c>
      <c r="AC46" s="6">
        <f>IF([1]流量!AN49="","",[1]流量!AN49)</f>
        <v>1.1011084337351216</v>
      </c>
      <c r="AD46" s="4">
        <f>IF([1]氣體產量!AH49="","",[1]氣體產量!AH49)</f>
        <v>0.37087828840620751</v>
      </c>
      <c r="AE46" s="4">
        <f>IF([1]methane_yield!W49="","",[1]methane_yield!W49)</f>
        <v>0.10216696792585951</v>
      </c>
      <c r="AF46" s="4">
        <f>IF([1]methane_yield!AA49="","",[1]methane_yield!AA49)</f>
        <v>0.10391983257162918</v>
      </c>
    </row>
    <row r="47" spans="1:32">
      <c r="A47" s="1">
        <v>44881</v>
      </c>
      <c r="B47">
        <v>46</v>
      </c>
      <c r="C47" t="s">
        <v>73</v>
      </c>
      <c r="D47" s="6">
        <f>IF('[1]env-PLC'!S50="","",'[1]env-PLC'!S50)</f>
        <v>32.808695652173917</v>
      </c>
      <c r="E47" s="6">
        <f>IF('[1]env-PLC'!T50="","",'[1]env-PLC'!T50)</f>
        <v>6.4339130434782605</v>
      </c>
      <c r="F47" s="6">
        <f>IF('[1]env-PLC'!U50="","",'[1]env-PLC'!U50)</f>
        <v>-443.08695652173913</v>
      </c>
      <c r="G47" s="6">
        <f>IF('[1]env-PLC'!V50="","",'[1]env-PLC'!V50)</f>
        <v>30.4</v>
      </c>
      <c r="H47" s="6">
        <f>IF([1]鹼度!L50="","",[1]鹼度!L50)</f>
        <v>1532.25</v>
      </c>
      <c r="I47" s="6">
        <f>IF([1]HPLC!CH50="","",[1]HPLC!CH50)</f>
        <v>2.4756962209999998</v>
      </c>
      <c r="J47" s="6">
        <f>IF([1]HPLC!CI50="","",[1]HPLC!CI50)</f>
        <v>22.31673528</v>
      </c>
      <c r="K47" s="6">
        <f>IF([1]HPLC!CJ50="","",[1]HPLC!CJ50)</f>
        <v>49.047249338999997</v>
      </c>
      <c r="L47" s="6">
        <f>IF([1]HPLC!CK50="","",[1]HPLC!CK50)</f>
        <v>4.1506615419999999</v>
      </c>
      <c r="M47" s="6">
        <f>IF([1]HPLC!CL50="","",[1]HPLC!CL50)</f>
        <v>0</v>
      </c>
      <c r="N47" s="6">
        <f>IF([1]HPLC!CM50="","",[1]HPLC!CM50)</f>
        <v>1.2095542479999999</v>
      </c>
      <c r="O47" s="6">
        <f>IF([1]HPLC!CN50="","",[1]HPLC!CN50)</f>
        <v>108.8284416012</v>
      </c>
      <c r="P47" s="6">
        <f>IF([1]HPLC!CO50="","",[1]HPLC!CO50)</f>
        <v>730</v>
      </c>
      <c r="Q47" s="6">
        <f>IF([1]HPLC!CP50="","",[1]HPLC!CP50)</f>
        <v>0.14908005698794521</v>
      </c>
      <c r="R47" s="6">
        <f>IF([1]HPLC!CQ50="","",[1]HPLC!CQ50)</f>
        <v>95.141587428517852</v>
      </c>
      <c r="S47" s="6">
        <f>IF([1]HPLC!CR50="","",[1]HPLC!CR50)</f>
        <v>67.410714285714292</v>
      </c>
      <c r="T47" s="5">
        <f>IF([1]氣體產量!AC50="","",[1]氣體產量!AC50)</f>
        <v>0.60597208033100036</v>
      </c>
      <c r="U47" s="3">
        <f>IF('[1]GC-TCD'!BU50="","",'[1]GC-TCD'!BU50)</f>
        <v>0</v>
      </c>
      <c r="V47" s="6">
        <f>IF('[1]GC-TCD'!BV50="","",'[1]GC-TCD'!BV50)</f>
        <v>17.620120749180671</v>
      </c>
      <c r="W47" s="6">
        <f>IF('[1]GC-TCD'!BW50="","",'[1]GC-TCD'!BW50)</f>
        <v>58.513207045273276</v>
      </c>
      <c r="X47" s="6">
        <f>IF('[1]GC-TCD'!BX50="","",'[1]GC-TCD'!BX50)</f>
        <v>23.866672205546045</v>
      </c>
      <c r="Y47">
        <v>252.92599999999999</v>
      </c>
      <c r="Z47" s="6">
        <f>IF([1]SS!AB50="","",[1]SS!AB50)</f>
        <v>22999.999999999687</v>
      </c>
      <c r="AA47" s="6">
        <f>IF([1]SS!AG50="","",[1]SS!AG50)</f>
        <v>173.99999999999861</v>
      </c>
      <c r="AB47" s="6">
        <f>IF([1]流量!AF50="","",[1]流量!AF50)</f>
        <v>2.3023884930103717</v>
      </c>
      <c r="AC47" s="6">
        <f>IF([1]流量!AN50="","",[1]流量!AN50)</f>
        <v>1.0984615384498573</v>
      </c>
      <c r="AD47" s="4">
        <f>IF([1]氣體產量!AH50="","",[1]氣體產量!AH50)</f>
        <v>0.35457369800062793</v>
      </c>
      <c r="AE47" s="4">
        <f>IF([1]methane_yield!W50="","",[1]methane_yield!W50)</f>
        <v>9.5071436607793741E-2</v>
      </c>
      <c r="AF47" s="4">
        <f>IF([1]methane_yield!AA50="","",[1]methane_yield!AA50)</f>
        <v>9.6935582424663672E-2</v>
      </c>
    </row>
    <row r="48" spans="1:32">
      <c r="A48" s="1">
        <v>44882</v>
      </c>
      <c r="B48">
        <v>47</v>
      </c>
      <c r="C48" t="s">
        <v>74</v>
      </c>
      <c r="D48" s="6">
        <f>IF('[1]env-PLC'!S51="","",'[1]env-PLC'!S51)</f>
        <v>33.220833333333331</v>
      </c>
      <c r="E48" s="6">
        <f>IF('[1]env-PLC'!T51="","",'[1]env-PLC'!T51)</f>
        <v>6.5204166666666667</v>
      </c>
      <c r="F48" s="6">
        <f>IF('[1]env-PLC'!U51="","",'[1]env-PLC'!U51)</f>
        <v>-451.29166666666669</v>
      </c>
      <c r="G48" s="6">
        <f>IF('[1]env-PLC'!V51="","",'[1]env-PLC'!V51)</f>
        <v>31.4</v>
      </c>
      <c r="H48" s="6">
        <f>IF([1]鹼度!L51="","",[1]鹼度!L51)</f>
        <v>1578.7499999999998</v>
      </c>
      <c r="I48" s="6">
        <f>IF([1]HPLC!CH51="","",[1]HPLC!CH51)</f>
        <v>2.8083527619999997</v>
      </c>
      <c r="J48" s="6">
        <f>IF([1]HPLC!CI51="","",[1]HPLC!CI51)</f>
        <v>3.9638432400000001</v>
      </c>
      <c r="K48" s="6">
        <f>IF([1]HPLC!CJ51="","",[1]HPLC!CJ51)</f>
        <v>4.1451032840000002</v>
      </c>
      <c r="L48" s="6">
        <f>IF([1]HPLC!CK51="","",[1]HPLC!CK51)</f>
        <v>0</v>
      </c>
      <c r="M48" s="6">
        <f>IF([1]HPLC!CL51="","",[1]HPLC!CL51)</f>
        <v>0</v>
      </c>
      <c r="N48" s="6">
        <f>IF([1]HPLC!CM51="","",[1]HPLC!CM51)</f>
        <v>0</v>
      </c>
      <c r="O48" s="6">
        <f>IF([1]HPLC!CN51="","",[1]HPLC!CN51)</f>
        <v>11.483341692340002</v>
      </c>
      <c r="P48" s="6">
        <f>IF([1]HPLC!CO51="","",[1]HPLC!CO51)</f>
        <v>350</v>
      </c>
      <c r="Q48" s="6">
        <f>IF([1]HPLC!CP51="","",[1]HPLC!CP51)</f>
        <v>3.2809547692400007E-2</v>
      </c>
      <c r="R48" s="6">
        <f>IF([1]HPLC!CQ51="","",[1]HPLC!CQ51)</f>
        <v>99.487350817306236</v>
      </c>
      <c r="S48" s="6">
        <f>IF([1]HPLC!CR51="","",[1]HPLC!CR51)</f>
        <v>84.375</v>
      </c>
      <c r="T48" s="5">
        <f>IF([1]氣體產量!AC51="","",[1]氣體產量!AC51)</f>
        <v>0.34933705131199627</v>
      </c>
      <c r="U48" s="3" t="str">
        <f>IF('[1]GC-TCD'!BU51="","",'[1]GC-TCD'!BU51)</f>
        <v/>
      </c>
      <c r="V48" s="6" t="str">
        <f>IF('[1]GC-TCD'!BV51="","",'[1]GC-TCD'!BV51)</f>
        <v/>
      </c>
      <c r="W48" s="6" t="str">
        <f>IF('[1]GC-TCD'!BW51="","",'[1]GC-TCD'!BW51)</f>
        <v/>
      </c>
      <c r="X48" s="6" t="str">
        <f>IF('[1]GC-TCD'!BX51="","",'[1]GC-TCD'!BX51)</f>
        <v/>
      </c>
      <c r="Y48">
        <v>201.458</v>
      </c>
      <c r="Z48" s="6">
        <f>IF([1]SS!AB51="","",[1]SS!AB51)</f>
        <v>28750.000000000164</v>
      </c>
      <c r="AA48" s="6">
        <f>IF([1]SS!AG51="","",[1]SS!AG51)</f>
        <v>230.00000000000131</v>
      </c>
      <c r="AB48" s="6" t="str">
        <f>IF([1]流量!AF51="","",[1]流量!AF51)</f>
        <v/>
      </c>
      <c r="AC48" s="6">
        <f>IF([1]流量!AN51="","",[1]流量!AN51)</f>
        <v>2.1627169811368261</v>
      </c>
      <c r="AD48" s="4" t="str">
        <f>IF([1]氣體產量!AH51="","",[1]氣體產量!AH51)</f>
        <v/>
      </c>
      <c r="AE48" s="4" t="str">
        <f>IF([1]methane_yield!W51="","",[1]methane_yield!W51)</f>
        <v/>
      </c>
      <c r="AF48" s="4" t="str">
        <f>IF([1]methane_yield!AA51="","",[1]methane_yield!AA51)</f>
        <v/>
      </c>
    </row>
    <row r="49" spans="1:32">
      <c r="A49" s="1">
        <v>44883</v>
      </c>
      <c r="B49">
        <v>48</v>
      </c>
      <c r="C49" t="s">
        <v>75</v>
      </c>
      <c r="D49" s="6">
        <f>IF('[1]env-PLC'!S52="","",'[1]env-PLC'!S52)</f>
        <v>33.000000000000007</v>
      </c>
      <c r="E49" s="6">
        <f>IF('[1]env-PLC'!T52="","",'[1]env-PLC'!T52)</f>
        <v>6.5068181818181809</v>
      </c>
      <c r="F49" s="6">
        <f>IF('[1]env-PLC'!U52="","",'[1]env-PLC'!U52)</f>
        <v>-450.31818181818181</v>
      </c>
      <c r="G49" s="6">
        <f>IF('[1]env-PLC'!V52="","",'[1]env-PLC'!V52)</f>
        <v>31.9</v>
      </c>
      <c r="H49" s="6">
        <f>IF([1]鹼度!L52="","",[1]鹼度!L52)</f>
        <v>1600.0499999999997</v>
      </c>
      <c r="I49" s="6">
        <f>IF([1]HPLC!CH52="","",[1]HPLC!CH52)</f>
        <v>2.1521217790000002</v>
      </c>
      <c r="J49" s="6">
        <f>IF([1]HPLC!CI52="","",[1]HPLC!CI52)</f>
        <v>10.175927160000001</v>
      </c>
      <c r="K49" s="6">
        <f>IF([1]HPLC!CJ52="","",[1]HPLC!CJ52)</f>
        <v>14.089706134000002</v>
      </c>
      <c r="L49" s="6">
        <f>IF([1]HPLC!CK52="","",[1]HPLC!CK52)</f>
        <v>0</v>
      </c>
      <c r="M49" s="6">
        <f>IF([1]HPLC!CL52="","",[1]HPLC!CL52)</f>
        <v>0</v>
      </c>
      <c r="N49" s="6">
        <f>IF([1]HPLC!CM52="","",[1]HPLC!CM52)</f>
        <v>0</v>
      </c>
      <c r="O49" s="6">
        <f>IF([1]HPLC!CN52="","",[1]HPLC!CN52)</f>
        <v>32.916940946190003</v>
      </c>
      <c r="P49" s="6">
        <f>IF([1]HPLC!CO52="","",[1]HPLC!CO52)</f>
        <v>280</v>
      </c>
      <c r="Q49" s="6">
        <f>IF([1]HPLC!CP52="","",[1]HPLC!CP52)</f>
        <v>0.11756050337925002</v>
      </c>
      <c r="R49" s="6">
        <f>IF([1]HPLC!CQ52="","",[1]HPLC!CQ52)</f>
        <v>98.530493707759376</v>
      </c>
      <c r="S49" s="6">
        <f>IF([1]HPLC!CR52="","",[1]HPLC!CR52)</f>
        <v>87.5</v>
      </c>
      <c r="T49" s="5">
        <f>IF([1]氣體產量!AC52="","",[1]氣體產量!AC52)</f>
        <v>0.42585478556512546</v>
      </c>
      <c r="U49" s="3">
        <f>IF('[1]GC-TCD'!BU52="","",'[1]GC-TCD'!BU52)</f>
        <v>0</v>
      </c>
      <c r="V49" s="6">
        <f>IF('[1]GC-TCD'!BV52="","",'[1]GC-TCD'!BV52)</f>
        <v>22.980796525773485</v>
      </c>
      <c r="W49" s="6">
        <f>IF('[1]GC-TCD'!BW52="","",'[1]GC-TCD'!BW52)</f>
        <v>56.368680009497076</v>
      </c>
      <c r="X49" s="6">
        <f>IF('[1]GC-TCD'!BX52="","",'[1]GC-TCD'!BX52)</f>
        <v>20.650523464729442</v>
      </c>
      <c r="Y49">
        <v>222.149</v>
      </c>
      <c r="Z49" s="6">
        <f>IF([1]SS!AB52="","",[1]SS!AB52)</f>
        <v>20249.999999999989</v>
      </c>
      <c r="AA49" s="6">
        <f>IF([1]SS!AG52="","",[1]SS!AG52)</f>
        <v>205.99999999999952</v>
      </c>
      <c r="AB49" s="6">
        <f>IF([1]流量!AF52="","",[1]流量!AF52)</f>
        <v>2.2504729764273566</v>
      </c>
      <c r="AC49" s="6">
        <f>IF([1]流量!AN52="","",[1]流量!AN52)</f>
        <v>1.1125903307907818</v>
      </c>
      <c r="AD49" s="4">
        <f>IF([1]氣體產量!AH52="","",[1]氣體產量!AH52)</f>
        <v>0.24004872138033551</v>
      </c>
      <c r="AE49" s="4">
        <f>IF([1]methane_yield!W52="","",[1]methane_yield!W52)</f>
        <v>6.2150220114700255E-2</v>
      </c>
      <c r="AF49" s="4">
        <f>IF([1]methane_yield!AA52="","",[1]methane_yield!AA52)</f>
        <v>6.2564130391992268E-2</v>
      </c>
    </row>
    <row r="50" spans="1:32">
      <c r="A50" s="1">
        <v>44884</v>
      </c>
      <c r="B50">
        <v>49</v>
      </c>
      <c r="C50" t="s">
        <v>76</v>
      </c>
      <c r="D50" s="6">
        <f>IF('[1]env-PLC'!S53="","",'[1]env-PLC'!S53)</f>
        <v>33.227777777777781</v>
      </c>
      <c r="E50" s="6">
        <f>IF('[1]env-PLC'!T53="","",'[1]env-PLC'!T53)</f>
        <v>6.43</v>
      </c>
      <c r="F50" s="6">
        <f>IF('[1]env-PLC'!U53="","",'[1]env-PLC'!U53)</f>
        <v>-443.72222222222223</v>
      </c>
      <c r="G50" s="6">
        <f>IF('[1]env-PLC'!V53="","",'[1]env-PLC'!V53)</f>
        <v>32.4</v>
      </c>
      <c r="H50" s="6">
        <f>IF([1]鹼度!L53="","",[1]鹼度!L53)</f>
        <v>1606.6500000000003</v>
      </c>
      <c r="I50" s="6">
        <f>IF([1]HPLC!CH53="","",[1]HPLC!CH53)</f>
        <v>0.27116361289999996</v>
      </c>
      <c r="J50" s="6">
        <f>IF([1]HPLC!CI53="","",[1]HPLC!CI53)</f>
        <v>19.459389720000001</v>
      </c>
      <c r="K50" s="6">
        <f>IF([1]HPLC!CJ53="","",[1]HPLC!CJ53)</f>
        <v>26.064766309000003</v>
      </c>
      <c r="L50" s="6">
        <f>IF([1]HPLC!CK53="","",[1]HPLC!CK53)</f>
        <v>0</v>
      </c>
      <c r="M50" s="6">
        <f>IF([1]HPLC!CL53="","",[1]HPLC!CL53)</f>
        <v>0</v>
      </c>
      <c r="N50" s="6">
        <f>IF([1]HPLC!CM53="","",[1]HPLC!CM53)</f>
        <v>0</v>
      </c>
      <c r="O50" s="6">
        <f>IF([1]HPLC!CN53="","",[1]HPLC!CN53)</f>
        <v>60.274251391505011</v>
      </c>
      <c r="P50" s="6">
        <f>IF([1]HPLC!CO53="","",[1]HPLC!CO53)</f>
        <v>30</v>
      </c>
      <c r="Q50" s="6">
        <f>IF([1]HPLC!CP53="","",[1]HPLC!CP53)</f>
        <v>2.009141713050167</v>
      </c>
      <c r="R50" s="6">
        <f>IF([1]HPLC!CQ53="","",[1]HPLC!CQ53)</f>
        <v>97.309185205736384</v>
      </c>
      <c r="S50" s="6">
        <f>IF([1]HPLC!CR53="","",[1]HPLC!CR53)</f>
        <v>98.660714285714292</v>
      </c>
      <c r="T50" s="5">
        <f>IF([1]氣體產量!AC53="","",[1]氣體產量!AC53)</f>
        <v>0.51764583421990862</v>
      </c>
      <c r="U50" s="3">
        <f>IF('[1]GC-TCD'!BU53="","",'[1]GC-TCD'!BU53)</f>
        <v>0</v>
      </c>
      <c r="V50" s="6">
        <f>IF('[1]GC-TCD'!BV53="","",'[1]GC-TCD'!BV53)</f>
        <v>15.223981234950006</v>
      </c>
      <c r="W50" s="6">
        <f>IF('[1]GC-TCD'!BW53="","",'[1]GC-TCD'!BW53)</f>
        <v>59.440540062538879</v>
      </c>
      <c r="X50" s="6">
        <f>IF('[1]GC-TCD'!BX53="","",'[1]GC-TCD'!BX53)</f>
        <v>25.335478702511121</v>
      </c>
      <c r="Y50">
        <v>252.90799999999999</v>
      </c>
      <c r="Z50" s="6">
        <f>IF([1]SS!AB53="","",[1]SS!AB53)</f>
        <v>22750.000000000269</v>
      </c>
      <c r="AA50" s="6">
        <f>IF([1]SS!AG53="","",[1]SS!AG53)</f>
        <v>254.00000000000313</v>
      </c>
      <c r="AB50" s="6">
        <f>IF([1]流量!AF53="","",[1]流量!AF53)</f>
        <v>2.2310323382878696</v>
      </c>
      <c r="AC50" s="6">
        <f>IF([1]流量!AN53="","",[1]流量!AN53)</f>
        <v>1.0867924528325761</v>
      </c>
      <c r="AD50" s="4">
        <f>IF([1]氣體產量!AH53="","",[1]氣體產量!AH53)</f>
        <v>0.3076914794715484</v>
      </c>
      <c r="AE50" s="4">
        <f>IF([1]methane_yield!W53="","",[1]methane_yield!W53)</f>
        <v>8.0663222273450574E-2</v>
      </c>
      <c r="AF50" s="4">
        <f>IF([1]methane_yield!AA53="","",[1]methane_yield!AA53)</f>
        <v>8.3127931842734509E-2</v>
      </c>
    </row>
    <row r="51" spans="1:32">
      <c r="A51" s="1">
        <v>44885</v>
      </c>
      <c r="B51">
        <v>50</v>
      </c>
      <c r="C51" t="s">
        <v>77</v>
      </c>
      <c r="D51" s="6">
        <f>IF('[1]env-PLC'!S54="","",'[1]env-PLC'!S54)</f>
        <v>32.98749999999999</v>
      </c>
      <c r="E51" s="6">
        <f>IF('[1]env-PLC'!T54="","",'[1]env-PLC'!T54)</f>
        <v>6.4049999999999976</v>
      </c>
      <c r="F51" s="6">
        <f>IF('[1]env-PLC'!U54="","",'[1]env-PLC'!U54)</f>
        <v>-440.70833333333331</v>
      </c>
      <c r="G51" s="6">
        <f>IF('[1]env-PLC'!V54="","",'[1]env-PLC'!V54)</f>
        <v>33.200000000000003</v>
      </c>
      <c r="H51" s="6">
        <f>IF([1]鹼度!L54="","",[1]鹼度!L54)</f>
        <v>1579.4</v>
      </c>
      <c r="I51" s="6">
        <f>IF([1]HPLC!CH54="","",[1]HPLC!CH54)</f>
        <v>0.30605636530000002</v>
      </c>
      <c r="J51" s="6">
        <f>IF([1]HPLC!CI54="","",[1]HPLC!CI54)</f>
        <v>13.914441120000001</v>
      </c>
      <c r="K51" s="6">
        <f>IF([1]HPLC!CJ54="","",[1]HPLC!CJ54)</f>
        <v>27.533970227000001</v>
      </c>
      <c r="L51" s="6">
        <f>IF([1]HPLC!CK54="","",[1]HPLC!CK54)</f>
        <v>0</v>
      </c>
      <c r="M51" s="6">
        <f>IF([1]HPLC!CL54="","",[1]HPLC!CL54)</f>
        <v>0</v>
      </c>
      <c r="N51" s="6">
        <f>IF([1]HPLC!CM54="","",[1]HPLC!CM54)</f>
        <v>0</v>
      </c>
      <c r="O51" s="6">
        <f>IF([1]HPLC!CN54="","",[1]HPLC!CN54)</f>
        <v>56.571866769025</v>
      </c>
      <c r="P51" s="6">
        <f>IF([1]HPLC!CO54="","",[1]HPLC!CO54)</f>
        <v>220</v>
      </c>
      <c r="Q51" s="6">
        <f>IF([1]HPLC!CP54="","",[1]HPLC!CP54)</f>
        <v>0.25714484895011364</v>
      </c>
      <c r="R51" s="6">
        <f>IF([1]HPLC!CQ54="","",[1]HPLC!CQ54)</f>
        <v>97.474470233525679</v>
      </c>
      <c r="S51" s="6">
        <f>IF([1]HPLC!CR54="","",[1]HPLC!CR54)</f>
        <v>90.178571428571431</v>
      </c>
      <c r="T51" s="5">
        <f>IF([1]氣體產量!AC54="","",[1]氣體產量!AC54)</f>
        <v>0.49344109026399019</v>
      </c>
      <c r="U51" s="3">
        <f>IF('[1]GC-TCD'!BU54="","",'[1]GC-TCD'!BU54)</f>
        <v>5.4704086605779689E-2</v>
      </c>
      <c r="V51" s="6">
        <f>IF('[1]GC-TCD'!BV54="","",'[1]GC-TCD'!BV54)</f>
        <v>14.517086899503454</v>
      </c>
      <c r="W51" s="6">
        <f>IF('[1]GC-TCD'!BW54="","",'[1]GC-TCD'!BW54)</f>
        <v>58.854988461465531</v>
      </c>
      <c r="X51" s="6">
        <f>IF('[1]GC-TCD'!BX54="","",'[1]GC-TCD'!BX54)</f>
        <v>26.573220552425248</v>
      </c>
      <c r="Y51">
        <v>251.44800000000001</v>
      </c>
      <c r="Z51" s="6">
        <f>IF([1]SS!AB54="","",[1]SS!AB54)</f>
        <v>23750.00000000016</v>
      </c>
      <c r="AA51" s="6">
        <f>IF([1]SS!AG54="","",[1]SS!AG54)</f>
        <v>200.00000000000017</v>
      </c>
      <c r="AB51" s="6">
        <f>IF([1]流量!AF54="","",[1]流量!AF54)</f>
        <v>2.2627618534906735</v>
      </c>
      <c r="AC51" s="6">
        <f>IF([1]流量!AN54="","",[1]流量!AN54)</f>
        <v>1.0949702970304243</v>
      </c>
      <c r="AD51" s="4">
        <f>IF([1]氣體產量!AH54="","",[1]氣體產量!AH54)</f>
        <v>0.29041469673900111</v>
      </c>
      <c r="AE51" s="4">
        <f>IF([1]methane_yield!W54="","",[1]methane_yield!W54)</f>
        <v>7.6004908406973395E-2</v>
      </c>
      <c r="AF51" s="4">
        <f>IF([1]methane_yield!AA54="","",[1]methane_yield!AA54)</f>
        <v>7.774228912571586E-2</v>
      </c>
    </row>
    <row r="52" spans="1:32">
      <c r="A52" s="1">
        <v>44886</v>
      </c>
      <c r="B52">
        <v>51</v>
      </c>
      <c r="C52" t="s">
        <v>78</v>
      </c>
      <c r="D52" s="6">
        <f>IF('[1]env-PLC'!S55="","",'[1]env-PLC'!S55)</f>
        <v>32.900000000000013</v>
      </c>
      <c r="E52" s="6">
        <f>IF('[1]env-PLC'!T55="","",'[1]env-PLC'!T55)</f>
        <v>6.395833333333333</v>
      </c>
      <c r="F52" s="6">
        <f>IF('[1]env-PLC'!U55="","",'[1]env-PLC'!U55)</f>
        <v>-443.54166666666669</v>
      </c>
      <c r="G52" s="6">
        <f>IF('[1]env-PLC'!V55="","",'[1]env-PLC'!V55)</f>
        <v>33.1</v>
      </c>
      <c r="H52" s="6">
        <f>IF([1]鹼度!L55="","",[1]鹼度!L55)</f>
        <v>1527.8</v>
      </c>
      <c r="I52" s="6">
        <f>IF([1]HPLC!CH55="","",[1]HPLC!CH55)</f>
        <v>1.2589189410000001</v>
      </c>
      <c r="J52" s="6">
        <f>IF([1]HPLC!CI55="","",[1]HPLC!CI55)</f>
        <v>32.752339319999997</v>
      </c>
      <c r="K52" s="6">
        <f>IF([1]HPLC!CJ55="","",[1]HPLC!CJ55)</f>
        <v>59.135754883000004</v>
      </c>
      <c r="L52" s="6">
        <f>IF([1]HPLC!CK55="","",[1]HPLC!CK55)</f>
        <v>2.835860904</v>
      </c>
      <c r="M52" s="6">
        <f>IF([1]HPLC!CL55="","",[1]HPLC!CL55)</f>
        <v>0</v>
      </c>
      <c r="N52" s="6">
        <f>IF([1]HPLC!CM55="","",[1]HPLC!CM55)</f>
        <v>1.0663792559999998</v>
      </c>
      <c r="O52" s="6">
        <f>IF([1]HPLC!CN55="","",[1]HPLC!CN55)</f>
        <v>132.1172951026</v>
      </c>
      <c r="P52" s="6">
        <f>IF([1]HPLC!CO55="","",[1]HPLC!CO55)</f>
        <v>370</v>
      </c>
      <c r="Q52" s="6">
        <f>IF([1]HPLC!CP55="","",[1]HPLC!CP55)</f>
        <v>0.35707377054756756</v>
      </c>
      <c r="R52" s="6">
        <f>IF([1]HPLC!CQ55="","",[1]HPLC!CQ55)</f>
        <v>94.101906468633928</v>
      </c>
      <c r="S52" s="6">
        <f>IF([1]HPLC!CR55="","",[1]HPLC!CR55)</f>
        <v>83.482142857142861</v>
      </c>
      <c r="T52" s="5">
        <f>IF([1]氣體產量!AC55="","",[1]氣體產量!AC55)</f>
        <v>0.63253455762035948</v>
      </c>
      <c r="U52" s="3">
        <f>IF('[1]GC-TCD'!BU55="","",'[1]GC-TCD'!BU55)</f>
        <v>0</v>
      </c>
      <c r="V52" s="6">
        <f>IF('[1]GC-TCD'!BV55="","",'[1]GC-TCD'!BV55)</f>
        <v>18.69688504756672</v>
      </c>
      <c r="W52" s="6">
        <f>IF('[1]GC-TCD'!BW55="","",'[1]GC-TCD'!BW55)</f>
        <v>57.345367793499868</v>
      </c>
      <c r="X52" s="6">
        <f>IF('[1]GC-TCD'!BX55="","",'[1]GC-TCD'!BX55)</f>
        <v>23.957747158933415</v>
      </c>
      <c r="Y52">
        <v>230.917</v>
      </c>
      <c r="Z52" s="6">
        <f>IF([1]SS!AB55="","",[1]SS!AB55)</f>
        <v>23500.000000000186</v>
      </c>
      <c r="AA52" s="6">
        <f>IF([1]SS!AG55="","",[1]SS!AG55)</f>
        <v>220.00000000000242</v>
      </c>
      <c r="AB52" s="6">
        <f>IF([1]流量!AF55="","",[1]流量!AF55)</f>
        <v>2.2574626865845397</v>
      </c>
      <c r="AC52" s="6">
        <f>IF([1]流量!AN55="","",[1]流量!AN55)</f>
        <v>1.1156804407627627</v>
      </c>
      <c r="AD52" s="4">
        <f>IF([1]氣體產量!AH55="","",[1]氣體產量!AH55)</f>
        <v>0.36272926848838244</v>
      </c>
      <c r="AE52" s="4">
        <f>IF([1]methane_yield!W55="","",[1]methane_yield!W55)</f>
        <v>9.8332733233245082E-2</v>
      </c>
      <c r="AF52" s="4">
        <f>IF([1]methane_yield!AA55="","",[1]methane_yield!AA55)</f>
        <v>9.8713446249841547E-2</v>
      </c>
    </row>
    <row r="53" spans="1:32">
      <c r="A53" s="1">
        <v>44887</v>
      </c>
      <c r="B53">
        <v>52</v>
      </c>
      <c r="C53" t="s">
        <v>79</v>
      </c>
      <c r="D53" s="6">
        <f>IF('[1]env-PLC'!S56="","",'[1]env-PLC'!S56)</f>
        <v>33.684210526315795</v>
      </c>
      <c r="E53" s="6">
        <f>IF('[1]env-PLC'!T56="","",'[1]env-PLC'!T56)</f>
        <v>6.4415789473684208</v>
      </c>
      <c r="F53" s="6">
        <f>IF('[1]env-PLC'!U56="","",'[1]env-PLC'!U56)</f>
        <v>-451.05263157894734</v>
      </c>
      <c r="G53" s="6">
        <f>IF('[1]env-PLC'!V56="","",'[1]env-PLC'!V56)</f>
        <v>33.700000000000003</v>
      </c>
      <c r="H53" s="6">
        <f>IF([1]鹼度!L56="","",[1]鹼度!L56)</f>
        <v>1588.95</v>
      </c>
      <c r="I53" s="6">
        <f>IF([1]HPLC!CH56="","",[1]HPLC!CH56)</f>
        <v>0.68379755499999995</v>
      </c>
      <c r="J53" s="6">
        <f>IF([1]HPLC!CI56="","",[1]HPLC!CI56)</f>
        <v>12.74910708</v>
      </c>
      <c r="K53" s="6">
        <f>IF([1]HPLC!CJ56="","",[1]HPLC!CJ56)</f>
        <v>20.247372415000001</v>
      </c>
      <c r="L53" s="6">
        <f>IF([1]HPLC!CK56="","",[1]HPLC!CK56)</f>
        <v>2.0270594559999999</v>
      </c>
      <c r="M53" s="6">
        <f>IF([1]HPLC!CL56="","",[1]HPLC!CL56)</f>
        <v>0</v>
      </c>
      <c r="N53" s="6">
        <f>IF([1]HPLC!CM56="","",[1]HPLC!CM56)</f>
        <v>0</v>
      </c>
      <c r="O53" s="6">
        <f>IF([1]HPLC!CN56="","",[1]HPLC!CN56)</f>
        <v>48.143654276420001</v>
      </c>
      <c r="P53" s="6">
        <f>IF([1]HPLC!CO56="","",[1]HPLC!CO56)</f>
        <v>220</v>
      </c>
      <c r="Q53" s="6">
        <f>IF([1]HPLC!CP56="","",[1]HPLC!CP56)</f>
        <v>0.21883479216554547</v>
      </c>
      <c r="R53" s="6">
        <f>IF([1]HPLC!CQ56="","",[1]HPLC!CQ56)</f>
        <v>97.850729719802672</v>
      </c>
      <c r="S53" s="6">
        <f>IF([1]HPLC!CR56="","",[1]HPLC!CR56)</f>
        <v>90.178571428571431</v>
      </c>
      <c r="T53" s="5">
        <f>IF([1]氣體產量!AC56="","",[1]氣體產量!AC56)</f>
        <v>0.30556630929011874</v>
      </c>
      <c r="U53" s="3" t="str">
        <f>IF('[1]GC-TCD'!BU56="","",'[1]GC-TCD'!BU56)</f>
        <v/>
      </c>
      <c r="V53" s="6" t="str">
        <f>IF('[1]GC-TCD'!BV56="","",'[1]GC-TCD'!BV56)</f>
        <v/>
      </c>
      <c r="W53" s="6" t="str">
        <f>IF('[1]GC-TCD'!BW56="","",'[1]GC-TCD'!BW56)</f>
        <v/>
      </c>
      <c r="X53" s="6" t="str">
        <f>IF('[1]GC-TCD'!BX56="","",'[1]GC-TCD'!BX56)</f>
        <v/>
      </c>
      <c r="Y53">
        <v>227.708</v>
      </c>
      <c r="Z53" s="6">
        <f>IF([1]SS!AB56="","",[1]SS!AB56)</f>
        <v>18500.000000000182</v>
      </c>
      <c r="AA53" s="6">
        <f>IF([1]SS!AG56="","",[1]SS!AG56)</f>
        <v>213.99999999999864</v>
      </c>
      <c r="AB53" s="6">
        <f>IF([1]流量!AF56="","",[1]流量!AF56)</f>
        <v>3.8538860315011343</v>
      </c>
      <c r="AC53" s="6">
        <f>IF([1]流量!AN56="","",[1]流量!AN56)</f>
        <v>1.0797623762383348</v>
      </c>
      <c r="AD53" s="4" t="str">
        <f>IF([1]氣體產量!AH56="","",[1]氣體產量!AH56)</f>
        <v/>
      </c>
      <c r="AE53" s="4" t="str">
        <f>IF([1]methane_yield!W56="","",[1]methane_yield!W56)</f>
        <v/>
      </c>
      <c r="AF53" s="4" t="str">
        <f>IF([1]methane_yield!AA56="","",[1]methane_yield!AA56)</f>
        <v/>
      </c>
    </row>
    <row r="54" spans="1:32">
      <c r="A54" s="1">
        <v>44888</v>
      </c>
      <c r="B54">
        <v>53</v>
      </c>
      <c r="C54" t="s">
        <v>80</v>
      </c>
      <c r="D54" s="6">
        <f>IF('[1]env-PLC'!S57="","",'[1]env-PLC'!S57)</f>
        <v>33.108695652173921</v>
      </c>
      <c r="E54" s="6">
        <f>IF('[1]env-PLC'!T57="","",'[1]env-PLC'!T57)</f>
        <v>6.4717391304347816</v>
      </c>
      <c r="F54" s="6">
        <f>IF('[1]env-PLC'!U57="","",'[1]env-PLC'!U57)</f>
        <v>-455.3478260869565</v>
      </c>
      <c r="G54" s="6">
        <f>IF('[1]env-PLC'!V57="","",'[1]env-PLC'!V57)</f>
        <v>35</v>
      </c>
      <c r="H54" s="6">
        <f>IF([1]鹼度!L57="","",[1]鹼度!L57)</f>
        <v>1595.3</v>
      </c>
      <c r="I54" s="6">
        <f>IF([1]HPLC!CH57="","",[1]HPLC!CH57)</f>
        <v>1.8973270379999998</v>
      </c>
      <c r="J54" s="6">
        <f>IF([1]HPLC!CI57="","",[1]HPLC!CI57)</f>
        <v>13.33233912</v>
      </c>
      <c r="K54" s="6">
        <f>IF([1]HPLC!CJ57="","",[1]HPLC!CJ57)</f>
        <v>19.179617350000001</v>
      </c>
      <c r="L54" s="6">
        <f>IF([1]HPLC!CK57="","",[1]HPLC!CK57)</f>
        <v>0</v>
      </c>
      <c r="M54" s="6">
        <f>IF([1]HPLC!CL57="","",[1]HPLC!CL57)</f>
        <v>0</v>
      </c>
      <c r="N54" s="6">
        <f>IF([1]HPLC!CM57="","",[1]HPLC!CM57)</f>
        <v>0</v>
      </c>
      <c r="O54" s="6">
        <f>IF([1]HPLC!CN57="","",[1]HPLC!CN57)</f>
        <v>43.890889520200005</v>
      </c>
      <c r="P54" s="6">
        <f>IF([1]HPLC!CO57="","",[1]HPLC!CO57)</f>
        <v>320</v>
      </c>
      <c r="Q54" s="6">
        <f>IF([1]HPLC!CP57="","",[1]HPLC!CP57)</f>
        <v>0.13715902975062502</v>
      </c>
      <c r="R54" s="6">
        <f>IF([1]HPLC!CQ57="","",[1]HPLC!CQ57)</f>
        <v>98.040585289276791</v>
      </c>
      <c r="S54" s="6">
        <f>IF([1]HPLC!CR57="","",[1]HPLC!CR57)</f>
        <v>85.714285714285708</v>
      </c>
      <c r="T54" s="5">
        <f>IF([1]氣體產量!AC57="","",[1]氣體產量!AC57)</f>
        <v>0.45384472597331588</v>
      </c>
      <c r="U54" s="3">
        <f>IF('[1]GC-TCD'!BU57="","",'[1]GC-TCD'!BU57)</f>
        <v>0</v>
      </c>
      <c r="V54" s="6">
        <f>IF('[1]GC-TCD'!BV57="","",'[1]GC-TCD'!BV57)</f>
        <v>19.788075089816733</v>
      </c>
      <c r="W54" s="6">
        <f>IF('[1]GC-TCD'!BW57="","",'[1]GC-TCD'!BW57)</f>
        <v>59.629733881879076</v>
      </c>
      <c r="X54" s="6">
        <f>IF('[1]GC-TCD'!BX57="","",'[1]GC-TCD'!BX57)</f>
        <v>20.582191028304184</v>
      </c>
      <c r="Y54">
        <v>216.74799999999999</v>
      </c>
      <c r="Z54" s="6">
        <f>IF([1]SS!AB57="","",[1]SS!AB57)</f>
        <v>25999.999999999913</v>
      </c>
      <c r="AA54" s="6">
        <f>IF([1]SS!AG57="","",[1]SS!AG57)</f>
        <v>217.99999999999818</v>
      </c>
      <c r="AB54" s="6">
        <f>IF([1]流量!AF57="","",[1]流量!AF57)</f>
        <v>2.2276642059382903</v>
      </c>
      <c r="AC54" s="6">
        <f>IF([1]流量!AN57="","",[1]流量!AN57)</f>
        <v>1.1049795918380474</v>
      </c>
      <c r="AD54" s="4">
        <f>IF([1]氣體產量!AH57="","",[1]氣體產量!AH57)</f>
        <v>0.2706264023348316</v>
      </c>
      <c r="AE54" s="4">
        <f>IF([1]methane_yield!W57="","",[1]methane_yield!W57)</f>
        <v>7.0417110761523363E-2</v>
      </c>
      <c r="AF54" s="4">
        <f>IF([1]methane_yield!AA57="","",[1]methane_yield!AA57)</f>
        <v>7.1374317349804428E-2</v>
      </c>
    </row>
    <row r="55" spans="1:32">
      <c r="A55" s="1">
        <v>44889</v>
      </c>
      <c r="B55">
        <v>54</v>
      </c>
      <c r="C55" t="s">
        <v>81</v>
      </c>
      <c r="D55" s="6">
        <f>IF('[1]env-PLC'!S58="","",'[1]env-PLC'!S58)</f>
        <v>32.631818181818183</v>
      </c>
      <c r="E55" s="6">
        <f>IF('[1]env-PLC'!T58="","",'[1]env-PLC'!T58)</f>
        <v>6.4286363636363637</v>
      </c>
      <c r="F55" s="6">
        <f>IF('[1]env-PLC'!U58="","",'[1]env-PLC'!U58)</f>
        <v>-452.09090909090907</v>
      </c>
      <c r="G55" s="6">
        <f>IF('[1]env-PLC'!V58="","",'[1]env-PLC'!V58)</f>
        <v>34.799999999999997</v>
      </c>
      <c r="H55" s="6">
        <f>IF([1]鹼度!L58="","",[1]鹼度!L58)</f>
        <v>1550.9499999999998</v>
      </c>
      <c r="I55" s="6">
        <f>IF([1]HPLC!CH58="","",[1]HPLC!CH58)</f>
        <v>2.4679367059999997</v>
      </c>
      <c r="J55" s="6">
        <f>IF([1]HPLC!CI58="","",[1]HPLC!CI58)</f>
        <v>22.6408728</v>
      </c>
      <c r="K55" s="6">
        <f>IF([1]HPLC!CJ58="","",[1]HPLC!CJ58)</f>
        <v>44.975203386999993</v>
      </c>
      <c r="L55" s="6">
        <f>IF([1]HPLC!CK58="","",[1]HPLC!CK58)</f>
        <v>1.9641869619999999</v>
      </c>
      <c r="M55" s="6">
        <f>IF([1]HPLC!CL58="","",[1]HPLC!CL58)</f>
        <v>0</v>
      </c>
      <c r="N55" s="6">
        <f>IF([1]HPLC!CM58="","",[1]HPLC!CM58)</f>
        <v>0</v>
      </c>
      <c r="O55" s="6">
        <f>IF([1]HPLC!CN58="","",[1]HPLC!CN58)</f>
        <v>96.57688912831</v>
      </c>
      <c r="P55" s="6">
        <f>IF([1]HPLC!CO58="","",[1]HPLC!CO58)</f>
        <v>220</v>
      </c>
      <c r="Q55" s="6">
        <f>IF([1]HPLC!CP58="","",[1]HPLC!CP58)</f>
        <v>0.43898585967413639</v>
      </c>
      <c r="R55" s="6">
        <f>IF([1]HPLC!CQ58="","",[1]HPLC!CQ58)</f>
        <v>95.68853173534329</v>
      </c>
      <c r="S55" s="6">
        <f>IF([1]HPLC!CR58="","",[1]HPLC!CR58)</f>
        <v>90.178571428571431</v>
      </c>
      <c r="T55" s="5">
        <f>IF([1]氣體產量!AC58="","",[1]氣體產量!AC58)</f>
        <v>0.54746486350485712</v>
      </c>
      <c r="U55" s="3">
        <f>IF('[1]GC-TCD'!BU58="","",'[1]GC-TCD'!BU58)</f>
        <v>0</v>
      </c>
      <c r="V55" s="6">
        <f>IF('[1]GC-TCD'!BV58="","",'[1]GC-TCD'!BV58)</f>
        <v>18.3432942678225</v>
      </c>
      <c r="W55" s="6">
        <f>IF('[1]GC-TCD'!BW58="","",'[1]GC-TCD'!BW58)</f>
        <v>59.373971047163423</v>
      </c>
      <c r="X55" s="6">
        <f>IF('[1]GC-TCD'!BX58="","",'[1]GC-TCD'!BX58)</f>
        <v>22.282734685014074</v>
      </c>
      <c r="Y55">
        <v>225.54499999999999</v>
      </c>
      <c r="Z55" s="6">
        <f>IF([1]SS!AB58="","",[1]SS!AB58)</f>
        <v>24750.000000000051</v>
      </c>
      <c r="AA55" s="6">
        <f>IF([1]SS!AG58="","",[1]SS!AG58)</f>
        <v>227.9999999999971</v>
      </c>
      <c r="AB55" s="6">
        <f>IF([1]流量!AF58="","",[1]流量!AF58)</f>
        <v>2.3166588565929902</v>
      </c>
      <c r="AC55" s="6">
        <f>IF([1]流量!AN58="","",[1]流量!AN58)</f>
        <v>1.1003076923078685</v>
      </c>
      <c r="AD55" s="4">
        <f>IF([1]氣體產量!AH58="","",[1]氣體產量!AH58)</f>
        <v>0.32505162955076661</v>
      </c>
      <c r="AE55" s="4">
        <f>IF([1]methane_yield!W58="","",[1]methane_yield!W58)</f>
        <v>8.6657546693702139E-2</v>
      </c>
      <c r="AF55" s="4">
        <f>IF([1]methane_yield!AA58="","",[1]methane_yield!AA58)</f>
        <v>8.8208464755320279E-2</v>
      </c>
    </row>
    <row r="56" spans="1:32">
      <c r="A56" s="1">
        <v>44890</v>
      </c>
      <c r="B56">
        <v>55</v>
      </c>
      <c r="C56" t="s">
        <v>82</v>
      </c>
      <c r="D56" s="6">
        <f>IF('[1]env-PLC'!S59="","",'[1]env-PLC'!S59)</f>
        <v>32.827272727272735</v>
      </c>
      <c r="E56" s="6">
        <f>IF('[1]env-PLC'!T59="","",'[1]env-PLC'!T59)</f>
        <v>6.4259090909090899</v>
      </c>
      <c r="F56" s="6">
        <f>IF('[1]env-PLC'!U59="","",'[1]env-PLC'!U59)</f>
        <v>-451.86363636363637</v>
      </c>
      <c r="G56" s="6">
        <f>IF('[1]env-PLC'!V59="","",'[1]env-PLC'!V59)</f>
        <v>35.4</v>
      </c>
      <c r="H56" s="6">
        <f>IF([1]鹼度!L59="","",[1]鹼度!L59)</f>
        <v>1516.6000000000001</v>
      </c>
      <c r="I56" s="6">
        <f>IF([1]HPLC!CH59="","",[1]HPLC!CH59)</f>
        <v>2.6173567000000002</v>
      </c>
      <c r="J56" s="6">
        <f>IF([1]HPLC!CI59="","",[1]HPLC!CI59)</f>
        <v>32.608754159999997</v>
      </c>
      <c r="K56" s="6">
        <f>IF([1]HPLC!CJ59="","",[1]HPLC!CJ59)</f>
        <v>78.867257999000017</v>
      </c>
      <c r="L56" s="6">
        <f>IF([1]HPLC!CK59="","",[1]HPLC!CK59)</f>
        <v>2.9764658580000001</v>
      </c>
      <c r="M56" s="6">
        <f>IF([1]HPLC!CL59="","",[1]HPLC!CL59)</f>
        <v>0</v>
      </c>
      <c r="N56" s="6">
        <f>IF([1]HPLC!CM59="","",[1]HPLC!CM59)</f>
        <v>0</v>
      </c>
      <c r="O56" s="6">
        <f>IF([1]HPLC!CN59="","",[1]HPLC!CN59)</f>
        <v>160.31416923625002</v>
      </c>
      <c r="P56" s="6">
        <f>IF([1]HPLC!CO59="","",[1]HPLC!CO59)</f>
        <v>290</v>
      </c>
      <c r="Q56" s="6">
        <f>IF([1]HPLC!CP59="","",[1]HPLC!CP59)</f>
        <v>0.55280748012500003</v>
      </c>
      <c r="R56" s="6">
        <f>IF([1]HPLC!CQ59="","",[1]HPLC!CQ59)</f>
        <v>92.843117444810261</v>
      </c>
      <c r="S56" s="6">
        <f>IF([1]HPLC!CR59="","",[1]HPLC!CR59)</f>
        <v>87.053571428571431</v>
      </c>
      <c r="T56" s="5">
        <f>IF([1]氣體產量!AC59="","",[1]氣體產量!AC59)</f>
        <v>0.70923639443423003</v>
      </c>
      <c r="U56" s="3">
        <f>IF('[1]GC-TCD'!BU59="","",'[1]GC-TCD'!BU59)</f>
        <v>0</v>
      </c>
      <c r="V56" s="6">
        <f>IF('[1]GC-TCD'!BV59="","",'[1]GC-TCD'!BV59)</f>
        <v>18.203478443304959</v>
      </c>
      <c r="W56" s="6">
        <f>IF('[1]GC-TCD'!BW59="","",'[1]GC-TCD'!BW59)</f>
        <v>58.207215505661459</v>
      </c>
      <c r="X56" s="6">
        <f>IF('[1]GC-TCD'!BX59="","",'[1]GC-TCD'!BX59)</f>
        <v>23.589306051033581</v>
      </c>
      <c r="Y56">
        <v>191.642</v>
      </c>
      <c r="Z56" s="6">
        <f>IF([1]SS!AB59="","",[1]SS!AB59)</f>
        <v>23500.000000000186</v>
      </c>
      <c r="AA56" s="6">
        <f>IF([1]SS!AG59="","",[1]SS!AG59)</f>
        <v>216.00000000000284</v>
      </c>
      <c r="AB56" s="6">
        <f>IF([1]流量!AF59="","",[1]流量!AF59)</f>
        <v>2.7003145241743027</v>
      </c>
      <c r="AC56" s="6">
        <f>IF([1]流量!AN59="","",[1]流量!AN59)</f>
        <v>1.1096370106752373</v>
      </c>
      <c r="AD56" s="4">
        <f>IF([1]氣體產量!AH59="","",[1]氣體產量!AH59)</f>
        <v>0.4128267565529154</v>
      </c>
      <c r="AE56" s="4">
        <f>IF([1]methane_yield!W59="","",[1]methane_yield!W59)</f>
        <v>0.11343107706700589</v>
      </c>
      <c r="AF56" s="4">
        <f>IF([1]methane_yield!AA59="","",[1]methane_yield!AA59)</f>
        <v>0.1144904190224679</v>
      </c>
    </row>
    <row r="57" spans="1:32">
      <c r="A57" s="1">
        <v>44891</v>
      </c>
      <c r="B57">
        <v>56</v>
      </c>
      <c r="C57" t="s">
        <v>83</v>
      </c>
      <c r="D57" s="6">
        <f>IF('[1]env-PLC'!S60="","",'[1]env-PLC'!S60)</f>
        <v>32.975000000000001</v>
      </c>
      <c r="E57" s="6">
        <f>IF('[1]env-PLC'!T60="","",'[1]env-PLC'!T60)</f>
        <v>6.3949999999999996</v>
      </c>
      <c r="F57" s="6">
        <f>IF('[1]env-PLC'!U60="","",'[1]env-PLC'!U60)</f>
        <v>-450.5</v>
      </c>
      <c r="G57" s="6">
        <f>IF('[1]env-PLC'!V60="","",'[1]env-PLC'!V60)</f>
        <v>35.5</v>
      </c>
      <c r="H57" s="6">
        <f>IF([1]鹼度!L60="","",[1]鹼度!L60)</f>
        <v>1531.0000000000002</v>
      </c>
      <c r="I57" s="6">
        <f>IF([1]HPLC!CH60="","",[1]HPLC!CH60)</f>
        <v>2.3013177869999999</v>
      </c>
      <c r="J57" s="6">
        <f>IF([1]HPLC!CI60="","",[1]HPLC!CI60)</f>
        <v>28.766880960000002</v>
      </c>
      <c r="K57" s="6">
        <f>IF([1]HPLC!CJ60="","",[1]HPLC!CJ60)</f>
        <v>78.867257999000017</v>
      </c>
      <c r="L57" s="6">
        <f>IF([1]HPLC!CK60="","",[1]HPLC!CK60)</f>
        <v>3.4265094879999998</v>
      </c>
      <c r="M57" s="6">
        <f>IF([1]HPLC!CL60="","",[1]HPLC!CL60)</f>
        <v>0.51255529919999998</v>
      </c>
      <c r="N57" s="6">
        <f>IF([1]HPLC!CM60="","",[1]HPLC!CM60)</f>
        <v>1.8874199039999997</v>
      </c>
      <c r="O57" s="6">
        <f>IF([1]HPLC!CN60="","",[1]HPLC!CN60)</f>
        <v>161.69501794800402</v>
      </c>
      <c r="P57" s="6">
        <f>IF([1]HPLC!CO60="","",[1]HPLC!CO60)</f>
        <v>250</v>
      </c>
      <c r="Q57" s="6">
        <f>IF([1]HPLC!CP60="","",[1]HPLC!CP60)</f>
        <v>0.64678007179201613</v>
      </c>
      <c r="R57" s="6">
        <f>IF([1]HPLC!CQ60="","",[1]HPLC!CQ60)</f>
        <v>92.781472413035544</v>
      </c>
      <c r="S57" s="6">
        <f>IF([1]HPLC!CR60="","",[1]HPLC!CR60)</f>
        <v>88.839285714285708</v>
      </c>
      <c r="T57" s="5">
        <f>IF([1]氣體產量!AC60="","",[1]氣體產量!AC60)</f>
        <v>0.63183721378609836</v>
      </c>
      <c r="U57" s="3">
        <f>IF('[1]GC-TCD'!BU60="","",'[1]GC-TCD'!BU60)</f>
        <v>6.866472688514233E-2</v>
      </c>
      <c r="V57" s="6">
        <f>IF('[1]GC-TCD'!BV60="","",'[1]GC-TCD'!BV60)</f>
        <v>25.047841369140329</v>
      </c>
      <c r="W57" s="6">
        <f>IF('[1]GC-TCD'!BW60="","",'[1]GC-TCD'!BW60)</f>
        <v>52.444318609439101</v>
      </c>
      <c r="X57" s="6">
        <f>IF('[1]GC-TCD'!BX60="","",'[1]GC-TCD'!BX60)</f>
        <v>22.439175294535428</v>
      </c>
      <c r="Y57">
        <v>237.91</v>
      </c>
      <c r="Z57" s="6">
        <f>IF([1]SS!AB60="","",[1]SS!AB60)</f>
        <v>8500.0000000001746</v>
      </c>
      <c r="AA57" s="6">
        <f>IF([1]SS!AG60="","",[1]SS!AG60)</f>
        <v>138.00000000000256</v>
      </c>
      <c r="AB57" s="6">
        <f>IF([1]流量!AF60="","",[1]流量!AF60)</f>
        <v>2.3213584609424314</v>
      </c>
      <c r="AC57" s="6">
        <f>IF([1]流量!AN60="","",[1]流量!AN60)</f>
        <v>1.1272258064473799</v>
      </c>
      <c r="AD57" s="4">
        <f>IF([1]氣體產量!AH60="","",[1]氣體產量!AH60)</f>
        <v>0.33136272149098434</v>
      </c>
      <c r="AE57" s="4">
        <f>IF([1]methane_yield!W60="","",[1]methane_yield!W60)</f>
        <v>9.1107959708263589E-2</v>
      </c>
      <c r="AF57" s="4">
        <f>IF([1]methane_yield!AA60="","",[1]methane_yield!AA60)</f>
        <v>9.0523934325858257E-2</v>
      </c>
    </row>
    <row r="58" spans="1:32">
      <c r="A58" s="1">
        <v>44892</v>
      </c>
      <c r="B58">
        <v>57</v>
      </c>
      <c r="C58" t="s">
        <v>84</v>
      </c>
      <c r="D58" s="6">
        <f>IF('[1]env-PLC'!S61="","",'[1]env-PLC'!S61)</f>
        <v>33.100000000000009</v>
      </c>
      <c r="E58" s="6">
        <f>IF('[1]env-PLC'!T61="","",'[1]env-PLC'!T61)</f>
        <v>6.3740000000000006</v>
      </c>
      <c r="F58" s="6">
        <f>IF('[1]env-PLC'!U61="","",'[1]env-PLC'!U61)</f>
        <v>-448</v>
      </c>
      <c r="G58" s="6">
        <f>IF('[1]env-PLC'!V61="","",'[1]env-PLC'!V61)</f>
        <v>34.799999999999997</v>
      </c>
      <c r="H58" s="6">
        <f>IF([1]鹼度!L61="","",[1]鹼度!L61)</f>
        <v>1556.95</v>
      </c>
      <c r="I58" s="6">
        <f>IF([1]HPLC!CH61="","",[1]HPLC!CH61)</f>
        <v>1.3054386999999998</v>
      </c>
      <c r="J58" s="6">
        <f>IF([1]HPLC!CI61="","",[1]HPLC!CI61)</f>
        <v>24.35948844</v>
      </c>
      <c r="K58" s="6">
        <f>IF([1]HPLC!CJ61="","",[1]HPLC!CJ61)</f>
        <v>81.964026427000007</v>
      </c>
      <c r="L58" s="6">
        <f>IF([1]HPLC!CK61="","",[1]HPLC!CK61)</f>
        <v>2.7471883200000002</v>
      </c>
      <c r="M58" s="6">
        <f>IF([1]HPLC!CL61="","",[1]HPLC!CL61)</f>
        <v>0</v>
      </c>
      <c r="N58" s="6">
        <f>IF([1]HPLC!CM61="","",[1]HPLC!CM61)</f>
        <v>1.1774499440000001</v>
      </c>
      <c r="O58" s="6">
        <f>IF([1]HPLC!CN61="","",[1]HPLC!CN61)</f>
        <v>157.68911670873001</v>
      </c>
      <c r="P58" s="6">
        <f>IF([1]HPLC!CO61="","",[1]HPLC!CO61)</f>
        <v>250</v>
      </c>
      <c r="Q58" s="6">
        <f>IF([1]HPLC!CP61="","",[1]HPLC!CP61)</f>
        <v>0.63075646683492004</v>
      </c>
      <c r="R58" s="6">
        <f>IF([1]HPLC!CQ61="","",[1]HPLC!CQ61)</f>
        <v>92.96030728978883</v>
      </c>
      <c r="S58" s="6">
        <f>IF([1]HPLC!CR61="","",[1]HPLC!CR61)</f>
        <v>88.839285714285708</v>
      </c>
      <c r="T58" s="5">
        <f>IF([1]氣體產量!AC61="","",[1]氣體產量!AC61)</f>
        <v>0.73403209703158334</v>
      </c>
      <c r="U58" s="3">
        <f>IF('[1]GC-TCD'!BU61="","",'[1]GC-TCD'!BU61)</f>
        <v>0</v>
      </c>
      <c r="V58" s="6">
        <f>IF('[1]GC-TCD'!BV61="","",'[1]GC-TCD'!BV61)</f>
        <v>29.343798196786704</v>
      </c>
      <c r="W58" s="6">
        <f>IF('[1]GC-TCD'!BW61="","",'[1]GC-TCD'!BW61)</f>
        <v>52.818285004866041</v>
      </c>
      <c r="X58" s="6">
        <f>IF('[1]GC-TCD'!BX61="","",'[1]GC-TCD'!BX61)</f>
        <v>17.837916798347251</v>
      </c>
      <c r="Y58">
        <v>225.75399999999999</v>
      </c>
      <c r="Z58" s="6">
        <f>IF([1]SS!AB61="","",[1]SS!AB61)</f>
        <v>7749.9999999997017</v>
      </c>
      <c r="AA58" s="6">
        <f>IF([1]SS!AG61="","",[1]SS!AG61)</f>
        <v>32.000000000000917</v>
      </c>
      <c r="AB58" s="6">
        <f>IF([1]流量!AF61="","",[1]流量!AF61)</f>
        <v>2.308574127844687</v>
      </c>
      <c r="AC58" s="6">
        <f>IF([1]流量!AN61="","",[1]流量!AN61)</f>
        <v>1.1026740331532494</v>
      </c>
      <c r="AD58" s="4">
        <f>IF([1]氣體產量!AH61="","",[1]氣體產量!AH61)</f>
        <v>0.38770316503733654</v>
      </c>
      <c r="AE58" s="4">
        <f>IF([1]methane_yield!W61="","",[1]methane_yield!W61)</f>
        <v>0.10639365500767621</v>
      </c>
      <c r="AF58" s="4">
        <f>IF([1]methane_yield!AA61="","",[1]methane_yield!AA61)</f>
        <v>0.10806538471559018</v>
      </c>
    </row>
    <row r="59" spans="1:32">
      <c r="A59" s="1">
        <v>44893</v>
      </c>
      <c r="B59">
        <v>58</v>
      </c>
      <c r="C59" t="s">
        <v>85</v>
      </c>
      <c r="D59" s="6">
        <f>IF('[1]env-PLC'!S62="","",'[1]env-PLC'!S62)</f>
        <v>32.507692307692317</v>
      </c>
      <c r="E59" s="6">
        <f>IF('[1]env-PLC'!T62="","",'[1]env-PLC'!T62)</f>
        <v>6.4842307692307681</v>
      </c>
      <c r="F59" s="6">
        <f>IF('[1]env-PLC'!U62="","",'[1]env-PLC'!U62)</f>
        <v>-428.34615384615387</v>
      </c>
      <c r="G59" s="6">
        <f>IF('[1]env-PLC'!V62="","",'[1]env-PLC'!V62)</f>
        <v>37</v>
      </c>
      <c r="H59" s="6">
        <f>IF([1]鹼度!L62="","",[1]鹼度!L62)</f>
        <v>1520.05</v>
      </c>
      <c r="I59" s="6">
        <f>IF([1]HPLC!CH62="","",[1]HPLC!CH62)</f>
        <v>1.9935770219999998</v>
      </c>
      <c r="J59" s="6">
        <f>IF([1]HPLC!CI62="","",[1]HPLC!CI62)</f>
        <v>10.63315536</v>
      </c>
      <c r="K59" s="6">
        <f>IF([1]HPLC!CJ62="","",[1]HPLC!CJ62)</f>
        <v>40.002042895999999</v>
      </c>
      <c r="L59" s="6">
        <f>IF([1]HPLC!CK62="","",[1]HPLC!CK62)</f>
        <v>2.3882385699999999</v>
      </c>
      <c r="M59" s="6">
        <f>IF([1]HPLC!CL62="","",[1]HPLC!CL62)</f>
        <v>0</v>
      </c>
      <c r="N59" s="6">
        <f>IF([1]HPLC!CM62="","",[1]HPLC!CM62)</f>
        <v>0</v>
      </c>
      <c r="O59" s="6">
        <f>IF([1]HPLC!CN62="","",[1]HPLC!CN62)</f>
        <v>76.824907163259994</v>
      </c>
      <c r="P59" s="6">
        <f>IF([1]HPLC!CO62="","",[1]HPLC!CO62)</f>
        <v>240</v>
      </c>
      <c r="Q59" s="6">
        <f>IF([1]HPLC!CP62="","",[1]HPLC!CP62)</f>
        <v>0.32010377984691663</v>
      </c>
      <c r="R59" s="6">
        <f>IF([1]HPLC!CQ62="","",[1]HPLC!CQ62)</f>
        <v>96.570316644497325</v>
      </c>
      <c r="S59" s="6">
        <f>IF([1]HPLC!CR62="","",[1]HPLC!CR62)</f>
        <v>89.285714285714292</v>
      </c>
      <c r="T59" s="5">
        <f>IF([1]氣體產量!AC62="","",[1]氣體產量!AC62)</f>
        <v>0.35716276815680009</v>
      </c>
      <c r="U59" s="3">
        <f>IF('[1]GC-TCD'!BU62="","",'[1]GC-TCD'!BU62)</f>
        <v>0</v>
      </c>
      <c r="V59" s="6">
        <f>IF('[1]GC-TCD'!BV62="","",'[1]GC-TCD'!BV62)</f>
        <v>28.443664366547129</v>
      </c>
      <c r="W59" s="6">
        <f>IF('[1]GC-TCD'!BW62="","",'[1]GC-TCD'!BW62)</f>
        <v>58.725843859347457</v>
      </c>
      <c r="X59" s="6">
        <f>IF('[1]GC-TCD'!BX62="","",'[1]GC-TCD'!BX62)</f>
        <v>12.830491774105415</v>
      </c>
      <c r="Y59">
        <v>234.005</v>
      </c>
      <c r="Z59" s="6">
        <f>IF([1]SS!AB62="","",[1]SS!AB62)</f>
        <v>21499.999999999851</v>
      </c>
      <c r="AA59" s="6">
        <f>IF([1]SS!AG62="","",[1]SS!AG62)</f>
        <v>249.99999999999912</v>
      </c>
      <c r="AB59" s="6">
        <f>IF([1]流量!AF62="","",[1]流量!AF62)</f>
        <v>2.386881510417993</v>
      </c>
      <c r="AC59" s="6">
        <f>IF([1]流量!AN62="","",[1]流量!AN62)</f>
        <v>0.46670377733447194</v>
      </c>
      <c r="AD59" s="4">
        <f>IF([1]氣體產量!AH62="","",[1]氣體產量!AH62)</f>
        <v>0.20974684955148556</v>
      </c>
      <c r="AE59" s="4">
        <f>IF([1]methane_yield!W62="","",[1]methane_yield!W62)</f>
        <v>5.5407138792298694E-2</v>
      </c>
      <c r="AF59" s="4">
        <f>IF([1]methane_yield!AA62="","",[1]methane_yield!AA62)</f>
        <v>0.1329665592204988</v>
      </c>
    </row>
    <row r="60" spans="1:32">
      <c r="A60" s="1">
        <v>44894</v>
      </c>
      <c r="B60">
        <v>59</v>
      </c>
      <c r="C60" t="s">
        <v>86</v>
      </c>
      <c r="D60" s="6">
        <f>IF('[1]env-PLC'!S63="","",'[1]env-PLC'!S63)</f>
        <v>31.004761904761907</v>
      </c>
      <c r="E60" s="6">
        <f>IF('[1]env-PLC'!T63="","",'[1]env-PLC'!T63)</f>
        <v>6.6333333333333337</v>
      </c>
      <c r="F60" s="6">
        <f>IF('[1]env-PLC'!U63="","",'[1]env-PLC'!U63)</f>
        <v>-267.33333333333331</v>
      </c>
      <c r="G60" s="6">
        <f>IF('[1]env-PLC'!V63="","",'[1]env-PLC'!V63)</f>
        <v>38.1</v>
      </c>
      <c r="H60" s="6">
        <f>IF([1]鹼度!L63="","",[1]鹼度!L63)</f>
        <v>1562.8</v>
      </c>
      <c r="I60" s="6">
        <f>IF([1]HPLC!CH63="","",[1]HPLC!CH63)</f>
        <v>0.77741303699999997</v>
      </c>
      <c r="J60" s="6">
        <f>IF([1]HPLC!CI63="","",[1]HPLC!CI63)</f>
        <v>18.869430000000001</v>
      </c>
      <c r="K60" s="6">
        <f>IF([1]HPLC!CJ63="","",[1]HPLC!CJ63)</f>
        <v>39.714493399999995</v>
      </c>
      <c r="L60" s="6">
        <f>IF([1]HPLC!CK63="","",[1]HPLC!CK63)</f>
        <v>0</v>
      </c>
      <c r="M60" s="6">
        <f>IF([1]HPLC!CL63="","",[1]HPLC!CL63)</f>
        <v>0</v>
      </c>
      <c r="N60" s="6">
        <f>IF([1]HPLC!CM63="","",[1]HPLC!CM63)</f>
        <v>0</v>
      </c>
      <c r="O60" s="6">
        <f>IF([1]HPLC!CN63="","",[1]HPLC!CN63)</f>
        <v>80.431269696949997</v>
      </c>
      <c r="P60" s="6">
        <f>IF([1]HPLC!CO63="","",[1]HPLC!CO63)</f>
        <v>170</v>
      </c>
      <c r="Q60" s="6">
        <f>IF([1]HPLC!CP63="","",[1]HPLC!CP63)</f>
        <v>0.47312511586441175</v>
      </c>
      <c r="R60" s="6">
        <f>IF([1]HPLC!CQ63="","",[1]HPLC!CQ63)</f>
        <v>96.409318317100443</v>
      </c>
      <c r="S60" s="6">
        <f>IF([1]HPLC!CR63="","",[1]HPLC!CR63)</f>
        <v>92.410714285714292</v>
      </c>
      <c r="T60" s="5">
        <f>IF([1]氣體產量!AC63="","",[1]氣體產量!AC63)</f>
        <v>0.21849810209115278</v>
      </c>
      <c r="U60" s="3">
        <f>IF('[1]GC-TCD'!BU63="","",'[1]GC-TCD'!BU63)</f>
        <v>0</v>
      </c>
      <c r="V60" s="6">
        <f>IF('[1]GC-TCD'!BV63="","",'[1]GC-TCD'!BV63)</f>
        <v>21.950717101823656</v>
      </c>
      <c r="W60" s="6">
        <f>IF('[1]GC-TCD'!BW63="","",'[1]GC-TCD'!BW63)</f>
        <v>61.003129179031177</v>
      </c>
      <c r="X60" s="6">
        <f>IF('[1]GC-TCD'!BX63="","",'[1]GC-TCD'!BX63)</f>
        <v>17.046153719145178</v>
      </c>
      <c r="Y60">
        <v>218.55099999999999</v>
      </c>
      <c r="Z60" s="6">
        <f>IF([1]SS!AB63="","",[1]SS!AB63)</f>
        <v>22250.000000000324</v>
      </c>
      <c r="AA60" s="6">
        <f>IF([1]SS!AG63="","",[1]SS!AG63)</f>
        <v>187.99999999999704</v>
      </c>
      <c r="AB60" s="6">
        <f>IF([1]流量!AF63="","",[1]流量!AF63)</f>
        <v>2.3520738204129037</v>
      </c>
      <c r="AC60" s="6">
        <f>IF([1]流量!AN63="","",[1]流量!AN63)</f>
        <v>1.3787586206889635</v>
      </c>
      <c r="AD60" s="4">
        <f>IF([1]氣體產量!AH63="","",[1]氣體產量!AH63)</f>
        <v>0.13329067947239737</v>
      </c>
      <c r="AE60" s="4">
        <f>IF([1]methane_yield!W63="","",[1]methane_yield!W63)</f>
        <v>3.5269126417183924E-2</v>
      </c>
      <c r="AF60" s="4">
        <f>IF([1]methane_yield!AA63="","",[1]methane_yield!AA63)</f>
        <v>2.8649990647026523E-2</v>
      </c>
    </row>
    <row r="61" spans="1:32">
      <c r="A61" s="1">
        <v>44895</v>
      </c>
      <c r="B61">
        <v>60</v>
      </c>
      <c r="C61" t="s">
        <v>87</v>
      </c>
      <c r="D61" s="6">
        <f>IF('[1]env-PLC'!S64="","",'[1]env-PLC'!S64)</f>
        <v>32.904545454545463</v>
      </c>
      <c r="E61" s="6">
        <f>IF('[1]env-PLC'!T64="","",'[1]env-PLC'!T64)</f>
        <v>6.459090909090909</v>
      </c>
      <c r="F61" s="6">
        <f>IF('[1]env-PLC'!U64="","",'[1]env-PLC'!U64)</f>
        <v>-378.63636363636363</v>
      </c>
      <c r="G61" s="6">
        <f>IF('[1]env-PLC'!V64="","",'[1]env-PLC'!V64)</f>
        <v>38</v>
      </c>
      <c r="H61" s="6">
        <f>IF([1]鹼度!L64="","",[1]鹼度!L64)</f>
        <v>1517.8</v>
      </c>
      <c r="I61" s="6">
        <f>IF([1]HPLC!CH64="","",[1]HPLC!CH64)</f>
        <v>0.84603274799999995</v>
      </c>
      <c r="J61" s="6">
        <f>IF([1]HPLC!CI64="","",[1]HPLC!CI64)</f>
        <v>31.577176560000002</v>
      </c>
      <c r="K61" s="6">
        <f>IF([1]HPLC!CJ64="","",[1]HPLC!CJ64)</f>
        <v>95.991815670000008</v>
      </c>
      <c r="L61" s="6">
        <f>IF([1]HPLC!CK64="","",[1]HPLC!CK64)</f>
        <v>2.1285029</v>
      </c>
      <c r="M61" s="6">
        <f>IF([1]HPLC!CL64="","",[1]HPLC!CL64)</f>
        <v>0</v>
      </c>
      <c r="N61" s="6">
        <f>IF([1]HPLC!CM64="","",[1]HPLC!CM64)</f>
        <v>0</v>
      </c>
      <c r="O61" s="6">
        <f>IF([1]HPLC!CN64="","",[1]HPLC!CN64)</f>
        <v>182.90520732070001</v>
      </c>
      <c r="P61" s="6">
        <f>IF([1]HPLC!CO64="","",[1]HPLC!CO64)</f>
        <v>420</v>
      </c>
      <c r="Q61" s="6">
        <f>IF([1]HPLC!CP64="","",[1]HPLC!CP64)</f>
        <v>0.43548858885880953</v>
      </c>
      <c r="R61" s="6">
        <f>IF([1]HPLC!CQ64="","",[1]HPLC!CQ64)</f>
        <v>91.834588958897328</v>
      </c>
      <c r="S61" s="6">
        <f>IF([1]HPLC!CR64="","",[1]HPLC!CR64)</f>
        <v>81.25</v>
      </c>
      <c r="T61" s="5">
        <f>IF([1]氣體產量!AC64="","",[1]氣體產量!AC64)</f>
        <v>0.59948939143214297</v>
      </c>
      <c r="U61" s="3">
        <f>IF('[1]GC-TCD'!BU64="","",'[1]GC-TCD'!BU64)</f>
        <v>0</v>
      </c>
      <c r="V61" s="6">
        <f>IF('[1]GC-TCD'!BV64="","",'[1]GC-TCD'!BV64)</f>
        <v>18.408439530261219</v>
      </c>
      <c r="W61" s="6">
        <f>IF('[1]GC-TCD'!BW64="","",'[1]GC-TCD'!BW64)</f>
        <v>58.485325103921518</v>
      </c>
      <c r="X61" s="6">
        <f>IF('[1]GC-TCD'!BX64="","",'[1]GC-TCD'!BX64)</f>
        <v>23.106235365817255</v>
      </c>
      <c r="Y61">
        <v>234.86600000000001</v>
      </c>
      <c r="Z61" s="6">
        <f>IF([1]SS!AB64="","",[1]SS!AB64)</f>
        <v>23999.999999999578</v>
      </c>
      <c r="AA61" s="6">
        <f>IF([1]SS!AG64="","",[1]SS!AG64)</f>
        <v>152.00000000000102</v>
      </c>
      <c r="AB61" s="6">
        <f>IF([1]流量!AF64="","",[1]流量!AF64)</f>
        <v>2.197240343786794</v>
      </c>
      <c r="AC61" s="6">
        <f>IF([1]流量!AN64="","",[1]流量!AN64)</f>
        <v>1.0985580448044336</v>
      </c>
      <c r="AD61" s="4">
        <f>IF([1]氣體產量!AH64="","",[1]氣體產量!AH64)</f>
        <v>0.35061331954260944</v>
      </c>
      <c r="AE61" s="4">
        <f>IF([1]methane_yield!W64="","",[1]methane_yield!W64)</f>
        <v>9.7394864360680455E-2</v>
      </c>
      <c r="AF61" s="4">
        <f>IF([1]methane_yield!AA64="","",[1]methane_yield!AA64)</f>
        <v>9.9295843856280763E-2</v>
      </c>
    </row>
    <row r="62" spans="1:32">
      <c r="A62" s="1">
        <v>44896</v>
      </c>
      <c r="B62">
        <v>61</v>
      </c>
      <c r="C62" t="s">
        <v>88</v>
      </c>
      <c r="D62" s="6">
        <f>IF('[1]env-PLC'!S65="","",'[1]env-PLC'!S65)</f>
        <v>33.030434782608687</v>
      </c>
      <c r="E62" s="6">
        <f>IF('[1]env-PLC'!T65="","",'[1]env-PLC'!T65)</f>
        <v>6.4478260869565212</v>
      </c>
      <c r="F62" s="6">
        <f>IF('[1]env-PLC'!U65="","",'[1]env-PLC'!U65)</f>
        <v>-419.17391304347825</v>
      </c>
      <c r="G62" s="6">
        <f>IF('[1]env-PLC'!V65="","",'[1]env-PLC'!V65)</f>
        <v>38.299999999999997</v>
      </c>
      <c r="H62" s="6">
        <f>IF([1]鹼度!L65="","",[1]鹼度!L65)</f>
        <v>1499.7</v>
      </c>
      <c r="I62" s="6">
        <f>IF([1]HPLC!CH65="","",[1]HPLC!CH65)</f>
        <v>1.9068731079999997</v>
      </c>
      <c r="J62" s="6">
        <f>IF([1]HPLC!CI65="","",[1]HPLC!CI65)</f>
        <v>29.309720640000002</v>
      </c>
      <c r="K62" s="6">
        <f>IF([1]HPLC!CJ65="","",[1]HPLC!CJ65)</f>
        <v>110.52246011000001</v>
      </c>
      <c r="L62" s="6">
        <f>IF([1]HPLC!CK65="","",[1]HPLC!CK65)</f>
        <v>2.7260610359999999</v>
      </c>
      <c r="M62" s="6">
        <f>IF([1]HPLC!CL65="","",[1]HPLC!CL65)</f>
        <v>0</v>
      </c>
      <c r="N62" s="6">
        <f>IF([1]HPLC!CM65="","",[1]HPLC!CM65)</f>
        <v>0</v>
      </c>
      <c r="O62" s="6">
        <f>IF([1]HPLC!CN65="","",[1]HPLC!CN65)</f>
        <v>203.87915252422002</v>
      </c>
      <c r="P62" s="6">
        <f>IF([1]HPLC!CO65="","",[1]HPLC!CO65)</f>
        <v>400</v>
      </c>
      <c r="Q62" s="6">
        <f>IF([1]HPLC!CP65="","",[1]HPLC!CP65)</f>
        <v>0.50969788131055005</v>
      </c>
      <c r="R62" s="6">
        <f>IF([1]HPLC!CQ65="","",[1]HPLC!CQ65)</f>
        <v>90.898252119454469</v>
      </c>
      <c r="S62" s="6">
        <f>IF([1]HPLC!CR65="","",[1]HPLC!CR65)</f>
        <v>82.142857142857139</v>
      </c>
      <c r="T62" s="5">
        <f>IF([1]氣體產量!AC65="","",[1]氣體產量!AC65)</f>
        <v>0.72435874195051941</v>
      </c>
      <c r="U62" s="3">
        <f>IF('[1]GC-TCD'!BU65="","",'[1]GC-TCD'!BU65)</f>
        <v>0</v>
      </c>
      <c r="V62" s="6">
        <f>IF('[1]GC-TCD'!BV65="","",'[1]GC-TCD'!BV65)</f>
        <v>16.104203955975873</v>
      </c>
      <c r="W62" s="6">
        <f>IF('[1]GC-TCD'!BW65="","",'[1]GC-TCD'!BW65)</f>
        <v>57.839138712049952</v>
      </c>
      <c r="X62" s="6">
        <f>IF('[1]GC-TCD'!BX65="","",'[1]GC-TCD'!BX65)</f>
        <v>26.056657331974154</v>
      </c>
      <c r="Y62">
        <v>272.79399999999998</v>
      </c>
      <c r="Z62" s="6">
        <f>IF([1]SS!AB65="","",[1]SS!AB65)</f>
        <v>24750.000000000051</v>
      </c>
      <c r="AA62" s="6">
        <f>IF([1]SS!AG65="","",[1]SS!AG65)</f>
        <v>196.00000000000063</v>
      </c>
      <c r="AB62" s="6">
        <f>IF([1]流量!AF65="","",[1]流量!AF65)</f>
        <v>2.297224720223312</v>
      </c>
      <c r="AC62" s="6">
        <f>IF([1]流量!AN65="","",[1]流量!AN65)</f>
        <v>1.0534787878787881</v>
      </c>
      <c r="AD62" s="4">
        <f>IF([1]氣體產量!AH65="","",[1]氣體產量!AH65)</f>
        <v>0.41896285752962087</v>
      </c>
      <c r="AE62" s="4">
        <f>IF([1]methane_yield!W65="","",[1]methane_yield!W65)</f>
        <v>0.11758012666909305</v>
      </c>
      <c r="AF62" s="4">
        <f>IF([1]methane_yield!AA65="","",[1]methane_yield!AA65)</f>
        <v>0.12500464497680638</v>
      </c>
    </row>
    <row r="63" spans="1:32">
      <c r="A63" s="1">
        <v>44897</v>
      </c>
      <c r="B63">
        <v>62</v>
      </c>
      <c r="C63" t="s">
        <v>89</v>
      </c>
      <c r="D63" s="6">
        <f>IF('[1]env-PLC'!S66="","",'[1]env-PLC'!S66)</f>
        <v>32.545000000000002</v>
      </c>
      <c r="E63" s="6">
        <f>IF('[1]env-PLC'!T66="","",'[1]env-PLC'!T66)</f>
        <v>6.4389999999999983</v>
      </c>
      <c r="F63" s="6">
        <f>IF('[1]env-PLC'!U66="","",'[1]env-PLC'!U66)</f>
        <v>-426.05</v>
      </c>
      <c r="G63" s="6">
        <f>IF('[1]env-PLC'!V66="","",'[1]env-PLC'!V66)</f>
        <v>38.700000000000003</v>
      </c>
      <c r="H63" s="6">
        <f>IF([1]鹼度!L66="","",[1]鹼度!L66)</f>
        <v>1523.7500000000002</v>
      </c>
      <c r="I63" s="6">
        <f>IF([1]HPLC!CH66="","",[1]HPLC!CH66)</f>
        <v>2.565109299</v>
      </c>
      <c r="J63" s="6">
        <f>IF([1]HPLC!CI66="","",[1]HPLC!CI66)</f>
        <v>24.17053524</v>
      </c>
      <c r="K63" s="6">
        <f>IF([1]HPLC!CJ66="","",[1]HPLC!CJ66)</f>
        <v>112.80711872000001</v>
      </c>
      <c r="L63" s="6">
        <f>IF([1]HPLC!CK66="","",[1]HPLC!CK66)</f>
        <v>2.9606314679999999</v>
      </c>
      <c r="M63" s="6">
        <f>IF([1]HPLC!CL66="","",[1]HPLC!CL66)</f>
        <v>0</v>
      </c>
      <c r="N63" s="6">
        <f>IF([1]HPLC!CM66="","",[1]HPLC!CM66)</f>
        <v>0.57369439999999994</v>
      </c>
      <c r="O63" s="6">
        <f>IF([1]HPLC!CN66="","",[1]HPLC!CN66)</f>
        <v>203.65769607641002</v>
      </c>
      <c r="P63" s="6">
        <f>IF([1]HPLC!CO66="","",[1]HPLC!CO66)</f>
        <v>220</v>
      </c>
      <c r="Q63" s="6">
        <f>IF([1]HPLC!CP66="","",[1]HPLC!CP66)</f>
        <v>0.92571680034731829</v>
      </c>
      <c r="R63" s="6">
        <f>IF([1]HPLC!CQ66="","",[1]HPLC!CQ66)</f>
        <v>90.908138568017407</v>
      </c>
      <c r="S63" s="6">
        <f>IF([1]HPLC!CR66="","",[1]HPLC!CR66)</f>
        <v>90.178571428571431</v>
      </c>
      <c r="T63" s="5">
        <f>IF([1]氣體產量!AC66="","",[1]氣體產量!AC66)</f>
        <v>0.63565127605486804</v>
      </c>
      <c r="U63" s="3">
        <f>IF('[1]GC-TCD'!BU66="","",'[1]GC-TCD'!BU66)</f>
        <v>0</v>
      </c>
      <c r="V63" s="6">
        <f>IF('[1]GC-TCD'!BV66="","",'[1]GC-TCD'!BV66)</f>
        <v>16.581107583441728</v>
      </c>
      <c r="W63" s="6">
        <f>IF('[1]GC-TCD'!BW66="","",'[1]GC-TCD'!BW66)</f>
        <v>58.364149227664633</v>
      </c>
      <c r="X63" s="6">
        <f>IF('[1]GC-TCD'!BX66="","",'[1]GC-TCD'!BX66)</f>
        <v>25.054743188893642</v>
      </c>
      <c r="Y63">
        <v>242.71799999999999</v>
      </c>
      <c r="Z63" s="6">
        <f>IF([1]SS!AB66="","",[1]SS!AB66)</f>
        <v>23000.00000000024</v>
      </c>
      <c r="AA63" s="6">
        <f>IF([1]SS!AG66="","",[1]SS!AG66)</f>
        <v>216.00000000000284</v>
      </c>
      <c r="AB63" s="6">
        <f>IF([1]流量!AF66="","",[1]流量!AF66)</f>
        <v>2.2316132858777067</v>
      </c>
      <c r="AC63" s="6">
        <f>IF([1]流量!AN66="","",[1]流量!AN66)</f>
        <v>1.1443960396033011</v>
      </c>
      <c r="AD63" s="4">
        <f>IF([1]氣體產量!AH66="","",[1]氣體產量!AH66)</f>
        <v>0.37099245932421765</v>
      </c>
      <c r="AE63" s="4">
        <f>IF([1]methane_yield!W66="","",[1]methane_yield!W66)</f>
        <v>0.10410611744103157</v>
      </c>
      <c r="AF63" s="4">
        <f>IF([1]methane_yield!AA66="","",[1]methane_yield!AA66)</f>
        <v>0.10188680098401404</v>
      </c>
    </row>
    <row r="64" spans="1:32">
      <c r="A64" s="1">
        <v>44898</v>
      </c>
      <c r="B64">
        <v>63</v>
      </c>
      <c r="C64" t="s">
        <v>90</v>
      </c>
      <c r="D64" s="6">
        <f>IF('[1]env-PLC'!S67="","",'[1]env-PLC'!S67)</f>
        <v>32.447369999999999</v>
      </c>
      <c r="E64" s="6">
        <f>IF('[1]env-PLC'!T67="","",'[1]env-PLC'!T67)</f>
        <v>6.4273680000000004</v>
      </c>
      <c r="F64" s="6">
        <f>IF('[1]env-PLC'!U67="","",'[1]env-PLC'!U67)</f>
        <v>-412.10500000000002</v>
      </c>
      <c r="G64" s="6">
        <f>IF('[1]env-PLC'!V67="","",'[1]env-PLC'!V67)</f>
        <v>39.1</v>
      </c>
      <c r="H64" s="6">
        <f>IF([1]鹼度!L67="","",[1]鹼度!L67)</f>
        <v>1512.8</v>
      </c>
      <c r="I64" s="6">
        <f>IF([1]HPLC!CH67="","",[1]HPLC!CH67)</f>
        <v>3.3396102230000002</v>
      </c>
      <c r="J64" s="6">
        <f>IF([1]HPLC!CI67="","",[1]HPLC!CI67)</f>
        <v>26.235346080000003</v>
      </c>
      <c r="K64" s="6">
        <f>IF([1]HPLC!CJ67="","",[1]HPLC!CJ67)</f>
        <v>169.59796140000003</v>
      </c>
      <c r="L64" s="6">
        <f>IF([1]HPLC!CK67="","",[1]HPLC!CK67)</f>
        <v>4.8345374039999989</v>
      </c>
      <c r="M64" s="6">
        <f>IF([1]HPLC!CL67="","",[1]HPLC!CL67)</f>
        <v>0</v>
      </c>
      <c r="N64" s="6">
        <f>IF([1]HPLC!CM67="","",[1]HPLC!CM67)</f>
        <v>1.1728015279999999</v>
      </c>
      <c r="O64" s="6">
        <f>IF([1]HPLC!CN67="","",[1]HPLC!CN67)</f>
        <v>296.52497879005006</v>
      </c>
      <c r="P64" s="6">
        <f>IF([1]HPLC!CO67="","",[1]HPLC!CO67)</f>
        <v>690</v>
      </c>
      <c r="Q64" s="6">
        <f>IF([1]HPLC!CP67="","",[1]HPLC!CP67)</f>
        <v>0.42974634607253631</v>
      </c>
      <c r="R64" s="6">
        <f>IF([1]HPLC!CQ67="","",[1]HPLC!CQ67)</f>
        <v>86.762277732587052</v>
      </c>
      <c r="S64" s="6">
        <f>IF([1]HPLC!CR67="","",[1]HPLC!CR67)</f>
        <v>69.196428571428569</v>
      </c>
      <c r="T64" s="5">
        <f>IF([1]氣體產量!AC67="","",[1]氣體產量!AC67)</f>
        <v>0.46194569865739066</v>
      </c>
      <c r="U64" s="3">
        <f>IF('[1]GC-TCD'!BU67="","",'[1]GC-TCD'!BU67)</f>
        <v>0</v>
      </c>
      <c r="V64" s="6">
        <f>IF('[1]GC-TCD'!BV67="","",'[1]GC-TCD'!BV67)</f>
        <v>27.198955670948692</v>
      </c>
      <c r="W64" s="6">
        <f>IF('[1]GC-TCD'!BW67="","",'[1]GC-TCD'!BW67)</f>
        <v>50.529917505632817</v>
      </c>
      <c r="X64" s="6">
        <f>IF('[1]GC-TCD'!BX67="","",'[1]GC-TCD'!BX67)</f>
        <v>22.271126823418502</v>
      </c>
      <c r="Y64">
        <v>215.12100000000001</v>
      </c>
      <c r="Z64" s="6">
        <f>IF([1]SS!AB67="","",[1]SS!AB67)</f>
        <v>6499.999999999839</v>
      </c>
      <c r="AA64" s="6">
        <f>IF([1]SS!AG67="","",[1]SS!AG67)</f>
        <v>217.99999999999818</v>
      </c>
      <c r="AB64" s="6">
        <f>IF([1]流量!AF67="","",[1]流量!AF67)</f>
        <v>2.2568664169645336</v>
      </c>
      <c r="AC64" s="6">
        <f>IF([1]流量!AN67="","",[1]流量!AN67)</f>
        <v>1.1263383503930673</v>
      </c>
      <c r="AD64" s="4">
        <f>IF([1]氣體產量!AH67="","",[1]氣體產量!AH67)</f>
        <v>0.23342078045239867</v>
      </c>
      <c r="AE64" s="4">
        <f>IF([1]methane_yield!W67="","",[1]methane_yield!W67)</f>
        <v>6.8631344195314567E-2</v>
      </c>
      <c r="AF64" s="4">
        <f>IF([1]methane_yield!AA67="","",[1]methane_yield!AA67)</f>
        <v>6.8245128537022109E-2</v>
      </c>
    </row>
    <row r="65" spans="1:32">
      <c r="A65" s="1">
        <v>44899</v>
      </c>
      <c r="B65">
        <v>64</v>
      </c>
      <c r="C65" t="s">
        <v>91</v>
      </c>
      <c r="D65" s="6">
        <f>IF('[1]env-PLC'!S68="","",'[1]env-PLC'!S68)</f>
        <v>33.141669999999998</v>
      </c>
      <c r="E65" s="6">
        <f>IF('[1]env-PLC'!T68="","",'[1]env-PLC'!T68)</f>
        <v>6.3991670000000003</v>
      </c>
      <c r="F65" s="6">
        <f>IF('[1]env-PLC'!U68="","",'[1]env-PLC'!U68)</f>
        <v>-425.91699999999997</v>
      </c>
      <c r="G65" s="6">
        <f>IF('[1]env-PLC'!V68="","",'[1]env-PLC'!V68)</f>
        <v>39.700000000000003</v>
      </c>
      <c r="H65" s="6">
        <f>IF([1]鹼度!L68="","",[1]鹼度!L68)</f>
        <v>1486.3000000000002</v>
      </c>
      <c r="I65" s="6">
        <f>IF([1]HPLC!CH68="","",[1]HPLC!CH68)</f>
        <v>3.0891298789999997</v>
      </c>
      <c r="J65" s="6">
        <f>IF([1]HPLC!CI68="","",[1]HPLC!CI68)</f>
        <v>24.793077692400001</v>
      </c>
      <c r="K65" s="6">
        <f>IF([1]HPLC!CJ68="","",[1]HPLC!CJ68)</f>
        <v>215.130725872</v>
      </c>
      <c r="L65" s="6">
        <f>IF([1]HPLC!CK68="","",[1]HPLC!CK68)</f>
        <v>4.9847684860000001</v>
      </c>
      <c r="M65" s="6">
        <f>IF([1]HPLC!CL68="","",[1]HPLC!CL68)</f>
        <v>0</v>
      </c>
      <c r="N65" s="6">
        <f>IF([1]HPLC!CM68="","",[1]HPLC!CM68)</f>
        <v>1.5493704639999999</v>
      </c>
      <c r="O65" s="6">
        <f>IF([1]HPLC!CN68="","",[1]HPLC!CN68)</f>
        <v>364.69017904631806</v>
      </c>
      <c r="P65" s="6">
        <f>IF([1]HPLC!CO68="","",[1]HPLC!CO68)</f>
        <v>410</v>
      </c>
      <c r="Q65" s="6">
        <f>IF([1]HPLC!CP68="","",[1]HPLC!CP68)</f>
        <v>0.88948824157638551</v>
      </c>
      <c r="R65" s="6">
        <f>IF([1]HPLC!CQ68="","",[1]HPLC!CQ68)</f>
        <v>83.71918843543223</v>
      </c>
      <c r="S65" s="6">
        <f>IF([1]HPLC!CR68="","",[1]HPLC!CR68)</f>
        <v>81.696428571428569</v>
      </c>
      <c r="T65" s="5">
        <f>IF([1]氣體產量!AC68="","",[1]氣體產量!AC68)</f>
        <v>0.43249942196670033</v>
      </c>
      <c r="U65" s="3">
        <f>IF('[1]GC-TCD'!BU68="","",'[1]GC-TCD'!BU68)</f>
        <v>0</v>
      </c>
      <c r="V65" s="6">
        <f>IF('[1]GC-TCD'!BV68="","",'[1]GC-TCD'!BV68)</f>
        <v>17.242037247855798</v>
      </c>
      <c r="W65" s="6">
        <f>IF('[1]GC-TCD'!BW68="","",'[1]GC-TCD'!BW68)</f>
        <v>57.061147563523541</v>
      </c>
      <c r="X65" s="6">
        <f>IF('[1]GC-TCD'!BX68="","",'[1]GC-TCD'!BX68)</f>
        <v>25.696815188620675</v>
      </c>
      <c r="Y65">
        <v>358.86900000000003</v>
      </c>
      <c r="Z65" s="6">
        <f>IF([1]SS!AB68="","",[1]SS!AB68)</f>
        <v>8750.0000000001455</v>
      </c>
      <c r="AA65" s="6">
        <f>IF([1]SS!AG68="","",[1]SS!AG68)</f>
        <v>228.00000000000153</v>
      </c>
      <c r="AB65" s="6">
        <f>IF([1]流量!AF68="","",[1]流量!AF68)</f>
        <v>2.4305555555537213</v>
      </c>
      <c r="AC65" s="6">
        <f>IF([1]流量!AN68="","",[1]流量!AN68)</f>
        <v>1.1139130434786133</v>
      </c>
      <c r="AD65" s="4">
        <f>IF([1]氣體產量!AH68="","",[1]氣體產量!AH68)</f>
        <v>0.24678913337980521</v>
      </c>
      <c r="AE65" s="4">
        <f>IF([1]methane_yield!W68="","",[1]methane_yield!W68)</f>
        <v>7.5199500560179891E-2</v>
      </c>
      <c r="AF65" s="4">
        <f>IF([1]methane_yield!AA68="","",[1]methane_yield!AA68)</f>
        <v>7.5610426792725269E-2</v>
      </c>
    </row>
    <row r="66" spans="1:32">
      <c r="A66" s="1">
        <v>44900</v>
      </c>
      <c r="B66">
        <v>65</v>
      </c>
      <c r="C66" t="s">
        <v>92</v>
      </c>
      <c r="D66" s="6">
        <f>IF('[1]env-PLC'!S69="","",'[1]env-PLC'!S69)</f>
        <v>32.474999999999994</v>
      </c>
      <c r="E66" s="6">
        <f>IF('[1]env-PLC'!T69="","",'[1]env-PLC'!T69)</f>
        <v>6.3942857142857132</v>
      </c>
      <c r="F66" s="6">
        <f>IF('[1]env-PLC'!U69="","",'[1]env-PLC'!U69)</f>
        <v>-424.89285714285717</v>
      </c>
      <c r="G66" s="6">
        <f>IF('[1]env-PLC'!V69="","",'[1]env-PLC'!V69)</f>
        <v>38.9</v>
      </c>
      <c r="H66" s="6">
        <f>IF([1]鹼度!L69="","",[1]鹼度!L69)</f>
        <v>1491.2</v>
      </c>
      <c r="I66" s="6">
        <f>IF([1]HPLC!CH69="","",[1]HPLC!CH69)</f>
        <v>1.26373464</v>
      </c>
      <c r="J66" s="6">
        <f>IF([1]HPLC!CI69="","",[1]HPLC!CI69)</f>
        <v>25.092174840000002</v>
      </c>
      <c r="K66" s="6">
        <f>IF([1]HPLC!CJ69="","",[1]HPLC!CJ69)</f>
        <v>222.31043394000002</v>
      </c>
      <c r="L66" s="6">
        <f>IF([1]HPLC!CK69="","",[1]HPLC!CK69)</f>
        <v>4.0490556939999998</v>
      </c>
      <c r="M66" s="6">
        <f>IF([1]HPLC!CL69="","",[1]HPLC!CL69)</f>
        <v>0</v>
      </c>
      <c r="N66" s="6">
        <f>IF([1]HPLC!CM69="","",[1]HPLC!CM69)</f>
        <v>1.5405271360000001</v>
      </c>
      <c r="O66" s="6">
        <f>IF([1]HPLC!CN69="","",[1]HPLC!CN69)</f>
        <v>373.4916461727201</v>
      </c>
      <c r="P66" s="6">
        <f>IF([1]HPLC!CO69="","",[1]HPLC!CO69)</f>
        <v>590</v>
      </c>
      <c r="Q66" s="6">
        <f>IF([1]HPLC!CP69="","",[1]HPLC!CP69)</f>
        <v>0.63303668842833916</v>
      </c>
      <c r="R66" s="6">
        <f>IF([1]HPLC!CQ69="","",[1]HPLC!CQ69)</f>
        <v>83.326265795860706</v>
      </c>
      <c r="S66" s="6">
        <f>IF([1]HPLC!CR69="","",[1]HPLC!CR69)</f>
        <v>73.660714285714292</v>
      </c>
      <c r="T66" s="5">
        <f>IF([1]氣體產量!AC69="","",[1]氣體產量!AC69)</f>
        <v>0.46575939293752516</v>
      </c>
      <c r="U66" s="3">
        <f>IF('[1]GC-TCD'!BU69="","",'[1]GC-TCD'!BU69)</f>
        <v>0</v>
      </c>
      <c r="V66" s="6" t="str">
        <f>IF('[1]GC-TCD'!BV69="","",'[1]GC-TCD'!BV69)</f>
        <v/>
      </c>
      <c r="W66" s="6" t="str">
        <f>IF('[1]GC-TCD'!BW69="","",'[1]GC-TCD'!BW69)</f>
        <v/>
      </c>
      <c r="X66" s="6" t="str">
        <f>IF('[1]GC-TCD'!BX69="","",'[1]GC-TCD'!BX69)</f>
        <v/>
      </c>
      <c r="Y66">
        <v>253.47399999999999</v>
      </c>
      <c r="Z66" s="6">
        <f>IF([1]SS!AB69="","",[1]SS!AB69)</f>
        <v>21749.999999999822</v>
      </c>
      <c r="AA66" s="6">
        <f>IF([1]SS!AG69="","",[1]SS!AG69)</f>
        <v>209.99999999999909</v>
      </c>
      <c r="AB66" s="6">
        <f>IF([1]流量!AF69="","",[1]流量!AF69)</f>
        <v>2.296173878201047</v>
      </c>
      <c r="AC66" s="6">
        <f>IF([1]流量!AN69="","",[1]流量!AN69)</f>
        <v>1.0476699857719527</v>
      </c>
      <c r="AD66" s="4" t="str">
        <f>IF([1]氣體產量!AH69="","",[1]氣體產量!AH69)</f>
        <v/>
      </c>
      <c r="AE66" s="4" t="str">
        <f>IF([1]methane_yield!W69="","",[1]methane_yield!W69)</f>
        <v/>
      </c>
      <c r="AF66" s="4" t="str">
        <f>IF([1]methane_yield!AA69="","",[1]methane_yield!AA69)</f>
        <v/>
      </c>
    </row>
    <row r="67" spans="1:32">
      <c r="A67" s="1">
        <v>44901</v>
      </c>
      <c r="B67">
        <v>66</v>
      </c>
      <c r="C67" t="s">
        <v>93</v>
      </c>
      <c r="D67" s="6">
        <f>IF('[1]env-PLC'!S70="","",'[1]env-PLC'!S70)</f>
        <v>32.728571428571428</v>
      </c>
      <c r="E67" s="6">
        <f>IF('[1]env-PLC'!T70="","",'[1]env-PLC'!T70)</f>
        <v>6.4099999999999984</v>
      </c>
      <c r="F67" s="6">
        <f>IF('[1]env-PLC'!U70="","",'[1]env-PLC'!U70)</f>
        <v>-420.85714285714283</v>
      </c>
      <c r="G67" s="6">
        <f>IF('[1]env-PLC'!V70="","",'[1]env-PLC'!V70)</f>
        <v>39.799999999999997</v>
      </c>
      <c r="H67" s="6">
        <f>IF([1]鹼度!L70="","",[1]鹼度!L70)</f>
        <v>1500.1</v>
      </c>
      <c r="I67" s="6">
        <f>IF([1]HPLC!CH70="","",[1]HPLC!CH70)</f>
        <v>1.2763311859999997</v>
      </c>
      <c r="J67" s="6">
        <f>IF([1]HPLC!CI70="","",[1]HPLC!CI70)</f>
        <v>24.209639880000001</v>
      </c>
      <c r="K67" s="6">
        <f>IF([1]HPLC!CJ70="","",[1]HPLC!CJ70)</f>
        <v>188.87594164100003</v>
      </c>
      <c r="L67" s="6">
        <f>IF([1]HPLC!CK70="","",[1]HPLC!CK70)</f>
        <v>3.6465964359999998</v>
      </c>
      <c r="M67" s="6">
        <f>IF([1]HPLC!CL70="","",[1]HPLC!CL70)</f>
        <v>0</v>
      </c>
      <c r="N67" s="6">
        <f>IF([1]HPLC!CM70="","",[1]HPLC!CM70)</f>
        <v>1.1688995040000001</v>
      </c>
      <c r="O67" s="6">
        <f>IF([1]HPLC!CN70="","",[1]HPLC!CN70)</f>
        <v>320.57506296629009</v>
      </c>
      <c r="P67" s="6">
        <f>IF([1]HPLC!CO70="","",[1]HPLC!CO70)</f>
        <v>400</v>
      </c>
      <c r="Q67" s="6">
        <f>IF([1]HPLC!CP70="","",[1]HPLC!CP70)</f>
        <v>0.80143765741572526</v>
      </c>
      <c r="R67" s="6">
        <f>IF([1]HPLC!CQ70="","",[1]HPLC!CQ70)</f>
        <v>85.68861326043347</v>
      </c>
      <c r="S67" s="6">
        <f>IF([1]HPLC!CR70="","",[1]HPLC!CR70)</f>
        <v>82.142857142857139</v>
      </c>
      <c r="T67" s="5">
        <f>IF([1]氣體產量!AC70="","",[1]氣體產量!AC70)</f>
        <v>0.56261738151662788</v>
      </c>
      <c r="U67" s="3">
        <f>IF('[1]GC-TCD'!BU70="","",'[1]GC-TCD'!BU70)</f>
        <v>0</v>
      </c>
      <c r="V67" s="6">
        <f>IF('[1]GC-TCD'!BV70="","",'[1]GC-TCD'!BV70)</f>
        <v>17.150120436506771</v>
      </c>
      <c r="W67" s="6">
        <f>IF('[1]GC-TCD'!BW70="","",'[1]GC-TCD'!BW70)</f>
        <v>56.740718702020352</v>
      </c>
      <c r="X67" s="6">
        <f>IF('[1]GC-TCD'!BX70="","",'[1]GC-TCD'!BX70)</f>
        <v>26.109160861472873</v>
      </c>
      <c r="Y67">
        <v>219.715</v>
      </c>
      <c r="Z67" s="6">
        <f>IF([1]SS!AB70="","",[1]SS!AB70)</f>
        <v>24000.000000000131</v>
      </c>
      <c r="AA67" s="6">
        <f>IF([1]SS!AG70="","",[1]SS!AG70)</f>
        <v>217.99999999999818</v>
      </c>
      <c r="AB67" s="6">
        <f>IF([1]流量!AF70="","",[1]流量!AF70)</f>
        <v>2.2585703549496192</v>
      </c>
      <c r="AC67" s="6">
        <f>IF([1]流量!AN70="","",[1]流量!AN70)</f>
        <v>1.0500785046740397</v>
      </c>
      <c r="AD67" s="4">
        <f>IF([1]氣體產量!AH70="","",[1]氣體產量!AH70)</f>
        <v>0.31923314581502249</v>
      </c>
      <c r="AE67" s="4">
        <f>IF([1]methane_yield!W70="","",[1]methane_yield!W70)</f>
        <v>9.5038329942528726E-2</v>
      </c>
      <c r="AF67" s="4">
        <f>IF([1]methane_yield!AA70="","",[1]methane_yield!AA70)</f>
        <v>0.1013666397910637</v>
      </c>
    </row>
    <row r="68" spans="1:32">
      <c r="A68" s="1">
        <v>44902</v>
      </c>
      <c r="B68">
        <v>67</v>
      </c>
      <c r="C68" t="s">
        <v>94</v>
      </c>
      <c r="D68" s="6">
        <f>IF('[1]env-PLC'!S71="","",'[1]env-PLC'!S71)</f>
        <v>32.980952380952381</v>
      </c>
      <c r="E68" s="6">
        <f>IF('[1]env-PLC'!T71="","",'[1]env-PLC'!T71)</f>
        <v>6.4023809523809501</v>
      </c>
      <c r="F68" s="6">
        <f>IF('[1]env-PLC'!U71="","",'[1]env-PLC'!U71)</f>
        <v>-431.52380952380952</v>
      </c>
      <c r="G68" s="6">
        <f>IF('[1]env-PLC'!V71="","",'[1]env-PLC'!V71)</f>
        <v>41.2</v>
      </c>
      <c r="H68" s="6">
        <f>IF([1]鹼度!L71="","",[1]鹼度!L71)</f>
        <v>1471.1000000000001</v>
      </c>
      <c r="I68" s="6">
        <f>IF([1]HPLC!CH71="","",[1]HPLC!CH71)</f>
        <v>1.220633334</v>
      </c>
      <c r="J68" s="6">
        <f>IF([1]HPLC!CI71="","",[1]HPLC!CI71)</f>
        <v>26.086846560000001</v>
      </c>
      <c r="K68" s="6">
        <f>IF([1]HPLC!CJ71="","",[1]HPLC!CJ71)</f>
        <v>208.209468724</v>
      </c>
      <c r="L68" s="6">
        <f>IF([1]HPLC!CK71="","",[1]HPLC!CK71)</f>
        <v>3.8458661439999999</v>
      </c>
      <c r="M68" s="6">
        <f>IF([1]HPLC!CL71="","",[1]HPLC!CL71)</f>
        <v>0</v>
      </c>
      <c r="N68" s="6">
        <f>IF([1]HPLC!CM71="","",[1]HPLC!CM71)</f>
        <v>1.471764592</v>
      </c>
      <c r="O68" s="6">
        <f>IF([1]HPLC!CN71="","",[1]HPLC!CN71)</f>
        <v>352.73832140910002</v>
      </c>
      <c r="P68" s="6">
        <f>IF([1]HPLC!CO71="","",[1]HPLC!CO71)</f>
        <v>510</v>
      </c>
      <c r="Q68" s="6">
        <f>IF([1]HPLC!CP71="","",[1]HPLC!CP71)</f>
        <v>0.69164376746882361</v>
      </c>
      <c r="R68" s="6">
        <f>IF([1]HPLC!CQ71="","",[1]HPLC!CQ71)</f>
        <v>84.252753508522318</v>
      </c>
      <c r="S68" s="6">
        <f>IF([1]HPLC!CR71="","",[1]HPLC!CR71)</f>
        <v>77.232142857142861</v>
      </c>
      <c r="T68" s="5">
        <f>IF([1]氣體產量!AC71="","",[1]氣體產量!AC71)</f>
        <v>0.63965176520623535</v>
      </c>
      <c r="U68" s="3">
        <f>IF('[1]GC-TCD'!BU71="","",'[1]GC-TCD'!BU71)</f>
        <v>0</v>
      </c>
      <c r="V68" s="6">
        <f>IF('[1]GC-TCD'!BV71="","",'[1]GC-TCD'!BV71)</f>
        <v>15.732436111418622</v>
      </c>
      <c r="W68" s="6">
        <f>IF('[1]GC-TCD'!BW71="","",'[1]GC-TCD'!BW71)</f>
        <v>56.790154097676037</v>
      </c>
      <c r="X68" s="6">
        <f>IF('[1]GC-TCD'!BX71="","",'[1]GC-TCD'!BX71)</f>
        <v>27.477409790905327</v>
      </c>
      <c r="Y68">
        <v>216.96</v>
      </c>
      <c r="Z68" s="6">
        <f>IF([1]SS!AB71="","",[1]SS!AB71)</f>
        <v>28249.999999999662</v>
      </c>
      <c r="AA68" s="6">
        <f>IF([1]SS!AG71="","",[1]SS!AG71)</f>
        <v>215.99999999999841</v>
      </c>
      <c r="AB68" s="6">
        <f>IF([1]流量!AF71="","",[1]流量!AF71)</f>
        <v>2.2467320261661698</v>
      </c>
      <c r="AC68" s="6">
        <f>IF([1]流量!AN71="","",[1]流量!AN71)</f>
        <v>1.1033711790437888</v>
      </c>
      <c r="AD68" s="4">
        <f>IF([1]氣體產量!AH71="","",[1]氣體產量!AH71)</f>
        <v>0.36325922314912595</v>
      </c>
      <c r="AE68" s="4">
        <f>IF([1]methane_yield!W71="","",[1]methane_yield!W71)</f>
        <v>0.10998829748789378</v>
      </c>
      <c r="AF68" s="4">
        <f>IF([1]methane_yield!AA71="","",[1]methane_yield!AA71)</f>
        <v>0.11164592253823245</v>
      </c>
    </row>
    <row r="69" spans="1:32">
      <c r="A69" s="1">
        <v>44903</v>
      </c>
      <c r="B69">
        <v>68</v>
      </c>
      <c r="C69" t="s">
        <v>95</v>
      </c>
      <c r="D69" s="6">
        <f>IF('[1]env-PLC'!S72="","",'[1]env-PLC'!S72)</f>
        <v>32.750000000000007</v>
      </c>
      <c r="E69" s="6">
        <f>IF('[1]env-PLC'!T72="","",'[1]env-PLC'!T72)</f>
        <v>6.5220000000000002</v>
      </c>
      <c r="F69" s="6">
        <f>IF('[1]env-PLC'!U72="","",'[1]env-PLC'!U72)</f>
        <v>-402.8</v>
      </c>
      <c r="G69" s="6">
        <f>IF('[1]env-PLC'!V72="","",'[1]env-PLC'!V72)</f>
        <v>42.1</v>
      </c>
      <c r="H69" s="6">
        <f>IF([1]鹼度!L72="","",[1]鹼度!L72)</f>
        <v>1513.65</v>
      </c>
      <c r="I69" s="6">
        <f>IF([1]HPLC!CH72="","",[1]HPLC!CH72)</f>
        <v>0.88135854000000002</v>
      </c>
      <c r="J69" s="6">
        <f>IF([1]HPLC!CI72="","",[1]HPLC!CI72)</f>
        <v>7.29617352</v>
      </c>
      <c r="K69" s="6">
        <f>IF([1]HPLC!CJ72="","",[1]HPLC!CJ72)</f>
        <v>94.867343971000011</v>
      </c>
      <c r="L69" s="6">
        <f>IF([1]HPLC!CK72="","",[1]HPLC!CK72)</f>
        <v>3.1096002279999997</v>
      </c>
      <c r="M69" s="6">
        <f>IF([1]HPLC!CL72="","",[1]HPLC!CL72)</f>
        <v>0</v>
      </c>
      <c r="N69" s="6">
        <f>IF([1]HPLC!CM72="","",[1]HPLC!CM72)</f>
        <v>0</v>
      </c>
      <c r="O69" s="6">
        <f>IF([1]HPLC!CN72="","",[1]HPLC!CN72)</f>
        <v>157.02454296657001</v>
      </c>
      <c r="P69" s="6">
        <f>IF([1]HPLC!CO72="","",[1]HPLC!CO72)</f>
        <v>110</v>
      </c>
      <c r="Q69" s="6">
        <f>IF([1]HPLC!CP72="","",[1]HPLC!CP72)</f>
        <v>1.4274958451506365</v>
      </c>
      <c r="R69" s="6">
        <f>IF([1]HPLC!CQ72="","",[1]HPLC!CQ72)</f>
        <v>92.989975760420975</v>
      </c>
      <c r="S69" s="6">
        <f>IF([1]HPLC!CR72="","",[1]HPLC!CR72)</f>
        <v>95.089285714285708</v>
      </c>
      <c r="T69" s="5">
        <f>IF([1]氣體產量!AC72="","",[1]氣體產量!AC72)</f>
        <v>0.3141864131645245</v>
      </c>
      <c r="U69" s="3">
        <f>IF('[1]GC-TCD'!BU72="","",'[1]GC-TCD'!BU72)</f>
        <v>0</v>
      </c>
      <c r="V69" s="6" t="str">
        <f>IF('[1]GC-TCD'!BV72="","",'[1]GC-TCD'!BV72)</f>
        <v/>
      </c>
      <c r="W69" s="6" t="str">
        <f>IF('[1]GC-TCD'!BW72="","",'[1]GC-TCD'!BW72)</f>
        <v/>
      </c>
      <c r="X69" s="6" t="str">
        <f>IF('[1]GC-TCD'!BX72="","",'[1]GC-TCD'!BX72)</f>
        <v/>
      </c>
      <c r="Y69">
        <v>122.17400000000001</v>
      </c>
      <c r="Z69" s="6">
        <f>IF([1]SS!AB72="","",[1]SS!AB72)</f>
        <v>25249.999999999993</v>
      </c>
      <c r="AA69" s="6">
        <f>IF([1]SS!AG72="","",[1]SS!AG72)</f>
        <v>220.00000000000242</v>
      </c>
      <c r="AB69" s="6">
        <f>IF([1]流量!AF72="","",[1]流量!AF72)</f>
        <v>2.4167298697989668</v>
      </c>
      <c r="AC69" s="6">
        <f>IF([1]流量!AN72="","",[1]流量!AN72)</f>
        <v>0.42394017674856393</v>
      </c>
      <c r="AD69" s="4" t="str">
        <f>IF([1]氣體產量!AH72="","",[1]氣體產量!AH72)</f>
        <v/>
      </c>
      <c r="AE69" s="4" t="str">
        <f>IF([1]methane_yield!W72="","",[1]methane_yield!W72)</f>
        <v/>
      </c>
      <c r="AF69" s="4" t="str">
        <f>IF([1]methane_yield!AA72="","",[1]methane_yield!AA72)</f>
        <v/>
      </c>
    </row>
    <row r="70" spans="1:32">
      <c r="A70" s="1">
        <v>44904</v>
      </c>
      <c r="B70">
        <v>69</v>
      </c>
      <c r="C70" t="s">
        <v>96</v>
      </c>
      <c r="D70" s="6">
        <f>IF('[1]env-PLC'!S73="","",'[1]env-PLC'!S73)</f>
        <v>32.338095238095242</v>
      </c>
      <c r="E70" s="6">
        <f>IF('[1]env-PLC'!T73="","",'[1]env-PLC'!T73)</f>
        <v>6.6761904761904773</v>
      </c>
      <c r="F70" s="6">
        <f>IF('[1]env-PLC'!U73="","",'[1]env-PLC'!U73)</f>
        <v>-352.1904761904762</v>
      </c>
      <c r="G70" s="6">
        <f>IF('[1]env-PLC'!V73="","",'[1]env-PLC'!V73)</f>
        <v>43.3</v>
      </c>
      <c r="H70" s="6">
        <f>IF([1]鹼度!L73="","",[1]鹼度!L73)</f>
        <v>1500.7500000000002</v>
      </c>
      <c r="I70" s="6">
        <f>IF([1]HPLC!CH73="","",[1]HPLC!CH73)</f>
        <v>0.8733377080000001</v>
      </c>
      <c r="J70" s="6">
        <f>IF([1]HPLC!CI73="","",[1]HPLC!CI73)</f>
        <v>0.51180931200000002</v>
      </c>
      <c r="K70" s="6">
        <f>IF([1]HPLC!CJ73="","",[1]HPLC!CJ73)</f>
        <v>1.3854350961000002</v>
      </c>
      <c r="L70" s="6">
        <f>IF([1]HPLC!CK73="","",[1]HPLC!CK73)</f>
        <v>0</v>
      </c>
      <c r="M70" s="6">
        <f>IF([1]HPLC!CL73="","",[1]HPLC!CL73)</f>
        <v>0</v>
      </c>
      <c r="N70" s="6">
        <f>IF([1]HPLC!CM73="","",[1]HPLC!CM73)</f>
        <v>0</v>
      </c>
      <c r="O70" s="6">
        <f>IF([1]HPLC!CN73="","",[1]HPLC!CN73)</f>
        <v>2.9453111567510004</v>
      </c>
      <c r="P70" s="6">
        <f>IF([1]HPLC!CO73="","",[1]HPLC!CO73)</f>
        <v>230</v>
      </c>
      <c r="Q70" s="6">
        <f>IF([1]HPLC!CP73="","",[1]HPLC!CP73)</f>
        <v>1.2805700681526089E-2</v>
      </c>
      <c r="R70" s="6">
        <f>IF([1]HPLC!CQ73="","",[1]HPLC!CQ73)</f>
        <v>99.868512894787912</v>
      </c>
      <c r="S70" s="6">
        <f>IF([1]HPLC!CR73="","",[1]HPLC!CR73)</f>
        <v>89.732142857142861</v>
      </c>
      <c r="T70" s="5">
        <f>IF([1]氣體產量!AC73="","",[1]氣體產量!AC73)</f>
        <v>0.21389140927793146</v>
      </c>
      <c r="U70" s="3">
        <f>IF('[1]GC-TCD'!BU73="","",'[1]GC-TCD'!BU73)</f>
        <v>0</v>
      </c>
      <c r="V70" s="6" t="str">
        <f>IF('[1]GC-TCD'!BV73="","",'[1]GC-TCD'!BV73)</f>
        <v/>
      </c>
      <c r="W70" s="6" t="str">
        <f>IF('[1]GC-TCD'!BW73="","",'[1]GC-TCD'!BW73)</f>
        <v/>
      </c>
      <c r="X70" s="6" t="str">
        <f>IF('[1]GC-TCD'!BX73="","",'[1]GC-TCD'!BX73)</f>
        <v/>
      </c>
      <c r="Y70">
        <v>200.97499999999999</v>
      </c>
      <c r="Z70" s="6">
        <f>IF([1]SS!AB73="","",[1]SS!AB73)</f>
        <v>22999.999999999687</v>
      </c>
      <c r="AA70" s="6">
        <f>IF([1]SS!AG73="","",[1]SS!AG73)</f>
        <v>169.99999999999903</v>
      </c>
      <c r="AB70" s="6">
        <f>IF([1]流量!AF73="","",[1]流量!AF73)</f>
        <v>2.3906681959890705</v>
      </c>
      <c r="AC70" s="6">
        <f>IF([1]流量!AN73="","",[1]流量!AN73)</f>
        <v>0.47715976331500642</v>
      </c>
      <c r="AD70" s="4" t="str">
        <f>IF([1]氣體產量!AH73="","",[1]氣體產量!AH73)</f>
        <v/>
      </c>
      <c r="AE70" s="4" t="str">
        <f>IF([1]methane_yield!W73="","",[1]methane_yield!W73)</f>
        <v/>
      </c>
      <c r="AF70" s="4" t="str">
        <f>IF([1]methane_yield!AA73="","",[1]methane_yield!AA73)</f>
        <v/>
      </c>
    </row>
    <row r="71" spans="1:32">
      <c r="A71" s="1">
        <v>44905</v>
      </c>
      <c r="B71">
        <v>70</v>
      </c>
      <c r="C71" t="s">
        <v>97</v>
      </c>
      <c r="D71" s="6">
        <f>IF('[1]env-PLC'!S74="","",'[1]env-PLC'!S74)</f>
        <v>33.168750000000003</v>
      </c>
      <c r="E71" s="6">
        <f>IF('[1]env-PLC'!T74="","",'[1]env-PLC'!T74)</f>
        <v>6.6143749999999999</v>
      </c>
      <c r="F71" s="6">
        <f>IF('[1]env-PLC'!U74="","",'[1]env-PLC'!U74)</f>
        <v>-414.75</v>
      </c>
      <c r="G71" s="6">
        <f>IF('[1]env-PLC'!V74="","",'[1]env-PLC'!V74)</f>
        <v>43.8</v>
      </c>
      <c r="H71" s="6">
        <f>IF([1]鹼度!L74="","",[1]鹼度!L74)</f>
        <v>1526.75</v>
      </c>
      <c r="I71" s="6">
        <f>IF([1]HPLC!CH74="","",[1]HPLC!CH74)</f>
        <v>1.655198172</v>
      </c>
      <c r="J71" s="6">
        <f>IF([1]HPLC!CI74="","",[1]HPLC!CI74)</f>
        <v>22.8894816</v>
      </c>
      <c r="K71" s="6">
        <f>IF([1]HPLC!CJ74="","",[1]HPLC!CJ74)</f>
        <v>140.82998872500002</v>
      </c>
      <c r="L71" s="6">
        <f>IF([1]HPLC!CK74="","",[1]HPLC!CK74)</f>
        <v>4.3565898139999994</v>
      </c>
      <c r="M71" s="6">
        <f>IF([1]HPLC!CL74="","",[1]HPLC!CL74)</f>
        <v>0</v>
      </c>
      <c r="N71" s="6">
        <f>IF([1]HPLC!CM74="","",[1]HPLC!CM74)</f>
        <v>1.00461768</v>
      </c>
      <c r="O71" s="6">
        <f>IF([1]HPLC!CN74="","",[1]HPLC!CN74)</f>
        <v>247.70276117563003</v>
      </c>
      <c r="P71" s="6">
        <f>IF([1]HPLC!CO74="","",[1]HPLC!CO74)</f>
        <v>290</v>
      </c>
      <c r="Q71" s="6">
        <f>IF([1]HPLC!CP74="","",[1]HPLC!CP74)</f>
        <v>0.85414745232975875</v>
      </c>
      <c r="R71" s="6">
        <f>IF([1]HPLC!CQ74="","",[1]HPLC!CQ74)</f>
        <v>88.941841018945084</v>
      </c>
      <c r="S71" s="6">
        <f>IF([1]HPLC!CR74="","",[1]HPLC!CR74)</f>
        <v>87.053571428571431</v>
      </c>
      <c r="T71" s="5">
        <f>IF([1]氣體產量!AC74="","",[1]氣體產量!AC74)</f>
        <v>0.39766408299572537</v>
      </c>
      <c r="U71" s="3">
        <f>IF('[1]GC-TCD'!BU74="","",'[1]GC-TCD'!BU74)</f>
        <v>0</v>
      </c>
      <c r="V71" s="6">
        <f>IF('[1]GC-TCD'!BV74="","",'[1]GC-TCD'!BV74)</f>
        <v>21.836216865577253</v>
      </c>
      <c r="W71" s="6">
        <f>IF('[1]GC-TCD'!BW74="","",'[1]GC-TCD'!BW74)</f>
        <v>59.759770518153545</v>
      </c>
      <c r="X71" s="6">
        <f>IF('[1]GC-TCD'!BX74="","",'[1]GC-TCD'!BX74)</f>
        <v>18.404012616269217</v>
      </c>
      <c r="Y71">
        <v>182.37100000000001</v>
      </c>
      <c r="Z71" s="6">
        <f>IF([1]SS!AB74="","",[1]SS!AB74)</f>
        <v>6499.999999999839</v>
      </c>
      <c r="AA71" s="6">
        <f>IF([1]SS!AG74="","",[1]SS!AG74)</f>
        <v>209.99999999999909</v>
      </c>
      <c r="AB71" s="6">
        <f>IF([1]流量!AF74="","",[1]流量!AF74)</f>
        <v>1.867061372261241</v>
      </c>
      <c r="AC71" s="6">
        <f>IF([1]流量!AN74="","",[1]流量!AN74)</f>
        <v>1.1146052356007357</v>
      </c>
      <c r="AD71" s="4">
        <f>IF([1]氣體產量!AH74="","",[1]氣體產量!AH74)</f>
        <v>0.23764314343136511</v>
      </c>
      <c r="AE71" s="4">
        <f>IF([1]methane_yield!W74="","",[1]methane_yield!W74)</f>
        <v>6.8160553211885022E-2</v>
      </c>
      <c r="AF71" s="4">
        <f>IF([1]methane_yield!AA74="","",[1]methane_yield!AA74)</f>
        <v>6.8490454879450269E-2</v>
      </c>
    </row>
    <row r="72" spans="1:32">
      <c r="A72" s="1">
        <v>44906</v>
      </c>
      <c r="B72">
        <v>71</v>
      </c>
      <c r="C72" t="s">
        <v>98</v>
      </c>
      <c r="D72" s="6">
        <f>IF('[1]env-PLC'!S75="","",'[1]env-PLC'!S75)</f>
        <v>33.381250000000009</v>
      </c>
      <c r="E72" s="6">
        <f>IF('[1]env-PLC'!T75="","",'[1]env-PLC'!T75)</f>
        <v>6.4731249999999978</v>
      </c>
      <c r="F72" s="6">
        <f>IF('[1]env-PLC'!U75="","",'[1]env-PLC'!U75)</f>
        <v>-426.125</v>
      </c>
      <c r="G72" s="6">
        <f>IF('[1]env-PLC'!V75="","",'[1]env-PLC'!V75)</f>
        <v>43.8</v>
      </c>
      <c r="H72" s="6">
        <f>IF([1]鹼度!L75="","",[1]鹼度!L75)</f>
        <v>1521.0499999999997</v>
      </c>
      <c r="I72" s="6">
        <f>IF([1]HPLC!CH75="","",[1]HPLC!CH75)</f>
        <v>2.7559133729999998</v>
      </c>
      <c r="J72" s="6">
        <f>IF([1]HPLC!CI75="","",[1]HPLC!CI75)</f>
        <v>16.428088079999998</v>
      </c>
      <c r="K72" s="6">
        <f>IF([1]HPLC!CJ75="","",[1]HPLC!CJ75)</f>
        <v>73.816507398000013</v>
      </c>
      <c r="L72" s="6">
        <f>IF([1]HPLC!CK75="","",[1]HPLC!CK75)</f>
        <v>3.4134433479999999</v>
      </c>
      <c r="M72" s="6">
        <f>IF([1]HPLC!CL75="","",[1]HPLC!CL75)</f>
        <v>0</v>
      </c>
      <c r="N72" s="6">
        <f>IF([1]HPLC!CM75="","",[1]HPLC!CM75)</f>
        <v>1.7118382719999996</v>
      </c>
      <c r="O72" s="6">
        <f>IF([1]HPLC!CN75="","",[1]HPLC!CN75)</f>
        <v>139.71016706537</v>
      </c>
      <c r="P72" s="6">
        <f>IF([1]HPLC!CO75="","",[1]HPLC!CO75)</f>
        <v>200</v>
      </c>
      <c r="Q72" s="6">
        <f>IF([1]HPLC!CP75="","",[1]HPLC!CP75)</f>
        <v>0.69855083532685003</v>
      </c>
      <c r="R72" s="6">
        <f>IF([1]HPLC!CQ75="","",[1]HPLC!CQ75)</f>
        <v>93.762938970295977</v>
      </c>
      <c r="S72" s="6">
        <f>IF([1]HPLC!CR75="","",[1]HPLC!CR75)</f>
        <v>91.071428571428569</v>
      </c>
      <c r="T72" s="5">
        <f>IF([1]氣體產量!AC75="","",[1]氣體產量!AC75)</f>
        <v>0.73818147057024619</v>
      </c>
      <c r="U72" s="3">
        <f>IF('[1]GC-TCD'!BU75="","",'[1]GC-TCD'!BU75)</f>
        <v>0</v>
      </c>
      <c r="V72" s="6">
        <f>IF('[1]GC-TCD'!BV75="","",'[1]GC-TCD'!BV75)</f>
        <v>16.438214070693981</v>
      </c>
      <c r="W72" s="6">
        <f>IF('[1]GC-TCD'!BW75="","",'[1]GC-TCD'!BW75)</f>
        <v>58.326348028113671</v>
      </c>
      <c r="X72" s="6">
        <f>IF('[1]GC-TCD'!BX75="","",'[1]GC-TCD'!BX75)</f>
        <v>25.235437901192338</v>
      </c>
      <c r="Y72">
        <v>176.19499999999999</v>
      </c>
      <c r="Z72" s="6">
        <f>IF([1]SS!AB75="","",[1]SS!AB75)</f>
        <v>43500.000000000204</v>
      </c>
      <c r="AA72" s="6">
        <f>IF([1]SS!AG75="","",[1]SS!AG75)</f>
        <v>265.99999999999733</v>
      </c>
      <c r="AB72" s="6">
        <f>IF([1]流量!AF75="","",[1]流量!AF75)</f>
        <v>1.9661724608078346</v>
      </c>
      <c r="AC72" s="6">
        <f>IF([1]流量!AN75="","",[1]流量!AN75)</f>
        <v>1.3514090407910508</v>
      </c>
      <c r="AD72" s="4">
        <f>IF([1]氣體產量!AH75="","",[1]氣體產量!AH75)</f>
        <v>0.43055429360384928</v>
      </c>
      <c r="AE72" s="4">
        <f>IF([1]methane_yield!W75="","",[1]methane_yield!W75)</f>
        <v>0.11714146355349368</v>
      </c>
      <c r="AF72" s="4">
        <f>IF([1]methane_yield!AA75="","",[1]methane_yield!AA75)</f>
        <v>9.7082700514653647E-2</v>
      </c>
    </row>
    <row r="73" spans="1:32">
      <c r="A73" s="1">
        <v>44907</v>
      </c>
      <c r="B73">
        <v>72</v>
      </c>
      <c r="C73" t="s">
        <v>99</v>
      </c>
      <c r="D73" s="6">
        <f>IF('[1]env-PLC'!S76="","",'[1]env-PLC'!S76)</f>
        <v>33.049999999999997</v>
      </c>
      <c r="E73" s="6">
        <f>IF('[1]env-PLC'!T76="","",'[1]env-PLC'!T76)</f>
        <v>6.4225000000000003</v>
      </c>
      <c r="F73" s="6">
        <f>IF('[1]env-PLC'!U76="","",'[1]env-PLC'!U76)</f>
        <v>-431.3125</v>
      </c>
      <c r="G73" s="6">
        <f>IF('[1]env-PLC'!V76="","",'[1]env-PLC'!V76)</f>
        <v>45</v>
      </c>
      <c r="H73" s="6">
        <f>IF([1]鹼度!L76="","",[1]鹼度!L76)</f>
        <v>1590.3500000000001</v>
      </c>
      <c r="I73" s="6">
        <f>IF([1]HPLC!CH76="","",[1]HPLC!CH76)</f>
        <v>2.0464003869999998</v>
      </c>
      <c r="J73" s="6">
        <f>IF([1]HPLC!CI76="","",[1]HPLC!CI76)</f>
        <v>22.076255760000002</v>
      </c>
      <c r="K73" s="6">
        <f>IF([1]HPLC!CJ76="","",[1]HPLC!CJ76)</f>
        <v>104.98028720100001</v>
      </c>
      <c r="L73" s="6">
        <f>IF([1]HPLC!CK76="","",[1]HPLC!CK76)</f>
        <v>2.6437664999999999</v>
      </c>
      <c r="M73" s="6">
        <f>IF([1]HPLC!CL76="","",[1]HPLC!CL76)</f>
        <v>0</v>
      </c>
      <c r="N73" s="6">
        <f>IF([1]HPLC!CM76="","",[1]HPLC!CM76)</f>
        <v>0</v>
      </c>
      <c r="O73" s="6">
        <f>IF([1]HPLC!CN76="","",[1]HPLC!CN76)</f>
        <v>187.66972250216</v>
      </c>
      <c r="P73" s="6">
        <f>IF([1]HPLC!CO76="","",[1]HPLC!CO76)</f>
        <v>90</v>
      </c>
      <c r="Q73" s="6">
        <f>IF([1]HPLC!CP76="","",[1]HPLC!CP76)</f>
        <v>2.0852191389128887</v>
      </c>
      <c r="R73" s="6">
        <f>IF([1]HPLC!CQ76="","",[1]HPLC!CQ76)</f>
        <v>91.621887388296429</v>
      </c>
      <c r="S73" s="6">
        <f>IF([1]HPLC!CR76="","",[1]HPLC!CR76)</f>
        <v>95.982142857142861</v>
      </c>
      <c r="T73" s="5">
        <f>IF([1]氣體產量!AC76="","",[1]氣體產量!AC76)</f>
        <v>0.63486065025442062</v>
      </c>
      <c r="U73" s="3">
        <f>IF('[1]GC-TCD'!BU76="","",'[1]GC-TCD'!BU76)</f>
        <v>0</v>
      </c>
      <c r="V73" s="6">
        <f>IF('[1]GC-TCD'!BV76="","",'[1]GC-TCD'!BV76)</f>
        <v>16.467578990232806</v>
      </c>
      <c r="W73" s="6">
        <f>IF('[1]GC-TCD'!BW76="","",'[1]GC-TCD'!BW76)</f>
        <v>57.517312723734058</v>
      </c>
      <c r="X73" s="6">
        <f>IF('[1]GC-TCD'!BX76="","",'[1]GC-TCD'!BX76)</f>
        <v>26.015108286033133</v>
      </c>
      <c r="Y73">
        <v>232.00200000000001</v>
      </c>
      <c r="Z73" s="6">
        <f>IF([1]SS!AB76="","",[1]SS!AB76)</f>
        <v>24000.000000000131</v>
      </c>
      <c r="AA73" s="6">
        <f>IF([1]SS!AG76="","",[1]SS!AG76)</f>
        <v>226.00000000000176</v>
      </c>
      <c r="AB73" s="6">
        <f>IF([1]流量!AF76="","",[1]流量!AF76)</f>
        <v>1.9721694127579057</v>
      </c>
      <c r="AC73" s="6">
        <f>IF([1]流量!AN76="","",[1]流量!AN76)</f>
        <v>0.96746012270353243</v>
      </c>
      <c r="AD73" s="4">
        <f>IF([1]氣體產量!AH76="","",[1]氣體產量!AH76)</f>
        <v>0.36515478556676662</v>
      </c>
      <c r="AE73" s="4">
        <f>IF([1]methane_yield!W76="","",[1]methane_yield!W76)</f>
        <v>0.10166973598475471</v>
      </c>
      <c r="AF73" s="4">
        <f>IF([1]methane_yield!AA76="","",[1]methane_yield!AA76)</f>
        <v>0.11770004947048297</v>
      </c>
    </row>
    <row r="74" spans="1:32">
      <c r="A74" s="1">
        <v>44908</v>
      </c>
      <c r="B74">
        <v>73</v>
      </c>
      <c r="C74" t="s">
        <v>100</v>
      </c>
      <c r="D74" s="6">
        <f>IF('[1]env-PLC'!S77="","",'[1]env-PLC'!S77)</f>
        <v>32.891304347826086</v>
      </c>
      <c r="E74" s="6">
        <f>IF('[1]env-PLC'!T77="","",'[1]env-PLC'!T77)</f>
        <v>6.4486956521739112</v>
      </c>
      <c r="F74" s="6">
        <f>IF('[1]env-PLC'!U77="","",'[1]env-PLC'!U77)</f>
        <v>-434.30434782608694</v>
      </c>
      <c r="G74" s="6">
        <f>IF('[1]env-PLC'!V77="","",'[1]env-PLC'!V77)</f>
        <v>45.7</v>
      </c>
      <c r="H74" s="6">
        <f>IF([1]鹼度!L77="","",[1]鹼度!L77)</f>
        <v>1579.15</v>
      </c>
      <c r="I74" s="6">
        <f>IF([1]HPLC!CH77="","",[1]HPLC!CH77)</f>
        <v>1.2725767540000001</v>
      </c>
      <c r="J74" s="6">
        <f>IF([1]HPLC!CI77="","",[1]HPLC!CI77)</f>
        <v>20.125973160000001</v>
      </c>
      <c r="K74" s="6">
        <f>IF([1]HPLC!CJ77="","",[1]HPLC!CJ77)</f>
        <v>99.505861699000008</v>
      </c>
      <c r="L74" s="6">
        <f>IF([1]HPLC!CK77="","",[1]HPLC!CK77)</f>
        <v>3.3572884739999997</v>
      </c>
      <c r="M74" s="6">
        <f>IF([1]HPLC!CL77="","",[1]HPLC!CL77)</f>
        <v>0</v>
      </c>
      <c r="N74" s="6">
        <f>IF([1]HPLC!CM77="","",[1]HPLC!CM77)</f>
        <v>0</v>
      </c>
      <c r="O74" s="6">
        <f>IF([1]HPLC!CN77="","",[1]HPLC!CN77)</f>
        <v>178.34430933327002</v>
      </c>
      <c r="P74" s="6">
        <f>IF([1]HPLC!CO77="","",[1]HPLC!CO77)</f>
        <v>340</v>
      </c>
      <c r="Q74" s="6">
        <f>IF([1]HPLC!CP77="","",[1]HPLC!CP77)</f>
        <v>0.52454208627432364</v>
      </c>
      <c r="R74" s="6">
        <f>IF([1]HPLC!CQ77="","",[1]HPLC!CQ77)</f>
        <v>92.03820047619331</v>
      </c>
      <c r="S74" s="6">
        <f>IF([1]HPLC!CR77="","",[1]HPLC!CR77)</f>
        <v>84.821428571428569</v>
      </c>
      <c r="T74" s="5">
        <f>IF([1]氣體產量!AC77="","",[1]氣體產量!AC77)</f>
        <v>0.52131379418866297</v>
      </c>
      <c r="U74" s="3">
        <f>IF('[1]GC-TCD'!BU77="","",'[1]GC-TCD'!BU77)</f>
        <v>0</v>
      </c>
      <c r="V74" s="6">
        <f>IF('[1]GC-TCD'!BV77="","",'[1]GC-TCD'!BV77)</f>
        <v>31.995103492491197</v>
      </c>
      <c r="W74" s="6">
        <f>IF('[1]GC-TCD'!BW77="","",'[1]GC-TCD'!BW77)</f>
        <v>48.25487776205717</v>
      </c>
      <c r="X74" s="6">
        <f>IF('[1]GC-TCD'!BX77="","",'[1]GC-TCD'!BX77)</f>
        <v>19.750018745451627</v>
      </c>
      <c r="Y74">
        <v>188.95099999999999</v>
      </c>
      <c r="Z74" s="6">
        <f>IF([1]SS!AB77="","",[1]SS!AB77)</f>
        <v>31250.000000000444</v>
      </c>
      <c r="AA74" s="6">
        <f>IF([1]SS!AG77="","",[1]SS!AG77)</f>
        <v>259.99999999999801</v>
      </c>
      <c r="AB74" s="6">
        <f>IF([1]流量!AF77="","",[1]流量!AF77)</f>
        <v>2.0169277867732065</v>
      </c>
      <c r="AC74" s="6">
        <f>IF([1]流量!AN77="","",[1]流量!AN77)</f>
        <v>0.97051521298082788</v>
      </c>
      <c r="AD74" s="4">
        <f>IF([1]氣體產量!AH77="","",[1]氣體產量!AH77)</f>
        <v>0.25155933414248161</v>
      </c>
      <c r="AE74" s="4">
        <f>IF([1]methane_yield!W77="","",[1]methane_yield!W77)</f>
        <v>6.9724635199427204E-2</v>
      </c>
      <c r="AF74" s="4">
        <f>IF([1]methane_yield!AA77="","",[1]methane_yield!AA77)</f>
        <v>8.0464057006905607E-2</v>
      </c>
    </row>
    <row r="75" spans="1:32">
      <c r="A75" s="1">
        <v>44909</v>
      </c>
      <c r="B75">
        <v>74</v>
      </c>
      <c r="C75" t="s">
        <v>101</v>
      </c>
      <c r="D75" s="6">
        <f>IF('[1]env-PLC'!S78="","",'[1]env-PLC'!S78)</f>
        <v>32.747826086956522</v>
      </c>
      <c r="E75" s="6">
        <f>IF('[1]env-PLC'!T78="","",'[1]env-PLC'!T78)</f>
        <v>6.4243478260869562</v>
      </c>
      <c r="F75" s="6">
        <f>IF('[1]env-PLC'!U78="","",'[1]env-PLC'!U78)</f>
        <v>-426.26086956521738</v>
      </c>
      <c r="G75" s="6">
        <f>IF('[1]env-PLC'!V78="","",'[1]env-PLC'!V78)</f>
        <v>45.1</v>
      </c>
      <c r="H75" s="6">
        <f>IF([1]鹼度!L78="","",[1]鹼度!L78)</f>
        <v>1572.4500000000003</v>
      </c>
      <c r="I75" s="6">
        <f>IF([1]HPLC!CH78="","",[1]HPLC!CH78)</f>
        <v>1.4840941999999999</v>
      </c>
      <c r="J75" s="6">
        <f>IF([1]HPLC!CI78="","",[1]HPLC!CI78)</f>
        <v>28.373460600000001</v>
      </c>
      <c r="K75" s="6">
        <f>IF([1]HPLC!CJ78="","",[1]HPLC!CJ78)</f>
        <v>103.38073372600002</v>
      </c>
      <c r="L75" s="6">
        <f>IF([1]HPLC!CK78="","",[1]HPLC!CK78)</f>
        <v>2.8741144279999995</v>
      </c>
      <c r="M75" s="6">
        <f>IF([1]HPLC!CL78="","",[1]HPLC!CL78)</f>
        <v>0</v>
      </c>
      <c r="N75" s="6">
        <f>IF([1]HPLC!CM78="","",[1]HPLC!CM78)</f>
        <v>0</v>
      </c>
      <c r="O75" s="6">
        <f>IF([1]HPLC!CN78="","",[1]HPLC!CN78)</f>
        <v>192.21483199722005</v>
      </c>
      <c r="P75" s="6">
        <f>IF([1]HPLC!CO78="","",[1]HPLC!CO78)</f>
        <v>310</v>
      </c>
      <c r="Q75" s="6">
        <f>IF([1]HPLC!CP78="","",[1]HPLC!CP78)</f>
        <v>0.6200478451523227</v>
      </c>
      <c r="R75" s="6">
        <f>IF([1]HPLC!CQ78="","",[1]HPLC!CQ78)</f>
        <v>91.418980714409827</v>
      </c>
      <c r="S75" s="6">
        <f>IF([1]HPLC!CR78="","",[1]HPLC!CR78)</f>
        <v>86.160714285714292</v>
      </c>
      <c r="T75" s="5">
        <f>IF([1]氣體產量!AC78="","",[1]氣體產量!AC78)</f>
        <v>0.59319051155971092</v>
      </c>
      <c r="U75" s="3">
        <f>IF('[1]GC-TCD'!BU78="","",'[1]GC-TCD'!BU78)</f>
        <v>0</v>
      </c>
      <c r="V75" s="6">
        <f>IF('[1]GC-TCD'!BV78="","",'[1]GC-TCD'!BV78)</f>
        <v>16.122570019466337</v>
      </c>
      <c r="W75" s="6">
        <f>IF('[1]GC-TCD'!BW78="","",'[1]GC-TCD'!BW78)</f>
        <v>58.048062554565242</v>
      </c>
      <c r="X75" s="6">
        <f>IF('[1]GC-TCD'!BX78="","",'[1]GC-TCD'!BX78)</f>
        <v>25.829367425968421</v>
      </c>
      <c r="Y75">
        <v>175.67500000000001</v>
      </c>
      <c r="Z75" s="6">
        <f>IF([1]SS!AB78="","",[1]SS!AB78)</f>
        <v>22749.999999999713</v>
      </c>
      <c r="AA75" s="6">
        <f>IF([1]SS!AG78="","",[1]SS!AG78)</f>
        <v>226.00000000000176</v>
      </c>
      <c r="AB75" s="6">
        <f>IF([1]流量!AF78="","",[1]流量!AF78)</f>
        <v>2.0276399797877569</v>
      </c>
      <c r="AC75" s="6">
        <f>IF([1]流量!AN78="","",[1]流量!AN78)</f>
        <v>1.1146239999948098</v>
      </c>
      <c r="AD75" s="4">
        <f>IF([1]氣體產量!AH78="","",[1]氣體產量!AH78)</f>
        <v>0.34433559921792656</v>
      </c>
      <c r="AE75" s="4">
        <f>IF([1]methane_yield!W78="","",[1]methane_yield!W78)</f>
        <v>9.6085860288267169E-2</v>
      </c>
      <c r="AF75" s="4">
        <f>IF([1]methane_yield!AA78="","",[1]methane_yield!AA78)</f>
        <v>9.6549296913901322E-2</v>
      </c>
    </row>
    <row r="76" spans="1:32">
      <c r="A76" s="1">
        <v>44910</v>
      </c>
      <c r="B76">
        <v>75</v>
      </c>
      <c r="C76" t="s">
        <v>102</v>
      </c>
      <c r="D76" s="6">
        <f>IF('[1]env-PLC'!S79="","",'[1]env-PLC'!S79)</f>
        <v>33.299999999999997</v>
      </c>
      <c r="E76" s="6">
        <f>IF('[1]env-PLC'!T79="","",'[1]env-PLC'!T79)</f>
        <v>6.4165217391304337</v>
      </c>
      <c r="F76" s="6">
        <f>IF('[1]env-PLC'!U79="","",'[1]env-PLC'!U79)</f>
        <v>-434.69565217391306</v>
      </c>
      <c r="G76" s="6">
        <f>IF('[1]env-PLC'!V79="","",'[1]env-PLC'!V79)</f>
        <v>45.8</v>
      </c>
      <c r="H76" s="6">
        <f>IF([1]鹼度!L79="","",[1]鹼度!L79)</f>
        <v>1523.5499999999997</v>
      </c>
      <c r="I76" s="6">
        <f>IF([1]HPLC!CH79="","",[1]HPLC!CH79)</f>
        <v>1.362112491</v>
      </c>
      <c r="J76" s="6">
        <f>IF([1]HPLC!CI79="","",[1]HPLC!CI79)</f>
        <v>29.618440559999996</v>
      </c>
      <c r="K76" s="6">
        <f>IF([1]HPLC!CJ79="","",[1]HPLC!CJ79)</f>
        <v>155.44128484000001</v>
      </c>
      <c r="L76" s="6">
        <f>IF([1]HPLC!CK79="","",[1]HPLC!CK79)</f>
        <v>2.8614321519999999</v>
      </c>
      <c r="M76" s="6">
        <f>IF([1]HPLC!CL79="","",[1]HPLC!CL79)</f>
        <v>0</v>
      </c>
      <c r="N76" s="6">
        <f>IF([1]HPLC!CM79="","",[1]HPLC!CM79)</f>
        <v>0</v>
      </c>
      <c r="O76" s="6">
        <f>IF([1]HPLC!CN79="","",[1]HPLC!CN79)</f>
        <v>272.09261739609002</v>
      </c>
      <c r="P76" s="6">
        <f>IF([1]HPLC!CO79="","",[1]HPLC!CO79)</f>
        <v>520</v>
      </c>
      <c r="Q76" s="6">
        <f>IF([1]HPLC!CP79="","",[1]HPLC!CP79)</f>
        <v>0.52325503345401925</v>
      </c>
      <c r="R76" s="6">
        <f>IF([1]HPLC!CQ79="","",[1]HPLC!CQ79)</f>
        <v>87.853008151960267</v>
      </c>
      <c r="S76" s="6">
        <f>IF([1]HPLC!CR79="","",[1]HPLC!CR79)</f>
        <v>76.785714285714292</v>
      </c>
      <c r="T76" s="5">
        <f>IF([1]氣體產量!AC79="","",[1]氣體產量!AC79)</f>
        <v>0.71912039408575146</v>
      </c>
      <c r="U76" s="3">
        <f>IF('[1]GC-TCD'!BU79="","",'[1]GC-TCD'!BU79)</f>
        <v>0</v>
      </c>
      <c r="V76" s="6">
        <f>IF('[1]GC-TCD'!BV79="","",'[1]GC-TCD'!BV79)</f>
        <v>16.561013128391316</v>
      </c>
      <c r="W76" s="6">
        <f>IF('[1]GC-TCD'!BW79="","",'[1]GC-TCD'!BW79)</f>
        <v>58.115595721887892</v>
      </c>
      <c r="X76" s="6">
        <f>IF('[1]GC-TCD'!BX79="","",'[1]GC-TCD'!BX79)</f>
        <v>25.323391149720798</v>
      </c>
      <c r="Y76">
        <v>167.244</v>
      </c>
      <c r="Z76" s="6">
        <f>IF([1]SS!AB79="","",[1]SS!AB79)</f>
        <v>32750.000000000276</v>
      </c>
      <c r="AA76" s="6">
        <f>IF([1]SS!AG79="","",[1]SS!AG79)</f>
        <v>308.00000000000159</v>
      </c>
      <c r="AB76" s="6">
        <f>IF([1]流量!AF79="","",[1]流量!AF79)</f>
        <v>2.2475385164846657</v>
      </c>
      <c r="AC76" s="6">
        <f>IF([1]流量!AN79="","",[1]流量!AN79)</f>
        <v>1.096267053703424</v>
      </c>
      <c r="AD76" s="4">
        <f>IF([1]氣體產量!AH79="","",[1]氣體產量!AH79)</f>
        <v>0.41792110098052232</v>
      </c>
      <c r="AE76" s="4">
        <f>IF([1]methane_yield!W79="","",[1]methane_yield!W79)</f>
        <v>0.1213533013871631</v>
      </c>
      <c r="AF76" s="4">
        <f>IF([1]methane_yield!AA79="","",[1]methane_yield!AA79)</f>
        <v>0.1239804636055334</v>
      </c>
    </row>
    <row r="77" spans="1:32">
      <c r="A77" s="1">
        <v>44911</v>
      </c>
      <c r="B77">
        <v>76</v>
      </c>
      <c r="C77" t="s">
        <v>103</v>
      </c>
      <c r="D77" s="6">
        <f>IF('[1]env-PLC'!S80="","",'[1]env-PLC'!S80)</f>
        <v>32.924999999999997</v>
      </c>
      <c r="E77" s="6">
        <f>IF('[1]env-PLC'!T80="","",'[1]env-PLC'!T80)</f>
        <v>6.4429999999999996</v>
      </c>
      <c r="F77" s="6">
        <f>IF('[1]env-PLC'!U80="","",'[1]env-PLC'!U80)</f>
        <v>-438.3</v>
      </c>
      <c r="G77" s="6">
        <f>IF('[1]env-PLC'!V80="","",'[1]env-PLC'!V80)</f>
        <v>45.2</v>
      </c>
      <c r="H77" s="6">
        <f>IF([1]鹼度!L80="","",[1]鹼度!L80)</f>
        <v>1558.7</v>
      </c>
      <c r="I77" s="6">
        <f>IF([1]HPLC!CH80="","",[1]HPLC!CH80)</f>
        <v>1.2766191679999999</v>
      </c>
      <c r="J77" s="6">
        <f>IF([1]HPLC!CI80="","",[1]HPLC!CI80)</f>
        <v>16.93953192</v>
      </c>
      <c r="K77" s="6">
        <f>IF([1]HPLC!CJ80="","",[1]HPLC!CJ80)</f>
        <v>123.62955907600002</v>
      </c>
      <c r="L77" s="6">
        <f>IF([1]HPLC!CK80="","",[1]HPLC!CK80)</f>
        <v>2.6586264660000003</v>
      </c>
      <c r="M77" s="6">
        <f>IF([1]HPLC!CL80="","",[1]HPLC!CL80)</f>
        <v>0</v>
      </c>
      <c r="N77" s="6">
        <f>IF([1]HPLC!CM80="","",[1]HPLC!CM80)</f>
        <v>0</v>
      </c>
      <c r="O77" s="6">
        <f>IF([1]HPLC!CN80="","",[1]HPLC!CN80)</f>
        <v>210.09145023608002</v>
      </c>
      <c r="P77" s="6">
        <f>IF([1]HPLC!CO80="","",[1]HPLC!CO80)</f>
        <v>580</v>
      </c>
      <c r="Q77" s="6">
        <f>IF([1]HPLC!CP80="","",[1]HPLC!CP80)</f>
        <v>0.36222663833806901</v>
      </c>
      <c r="R77" s="6">
        <f>IF([1]HPLC!CQ80="","",[1]HPLC!CQ80)</f>
        <v>90.620917400175003</v>
      </c>
      <c r="S77" s="6">
        <f>IF([1]HPLC!CR80="","",[1]HPLC!CR80)</f>
        <v>74.107142857142861</v>
      </c>
      <c r="T77" s="5">
        <f>IF([1]氣體產量!AC80="","",[1]氣體產量!AC80)</f>
        <v>0.51398669193075619</v>
      </c>
      <c r="U77" s="3">
        <f>IF('[1]GC-TCD'!BU80="","",'[1]GC-TCD'!BU80)</f>
        <v>0</v>
      </c>
      <c r="V77" s="6">
        <f>IF('[1]GC-TCD'!BV80="","",'[1]GC-TCD'!BV80)</f>
        <v>23.471527484853212</v>
      </c>
      <c r="W77" s="6">
        <f>IF('[1]GC-TCD'!BW80="","",'[1]GC-TCD'!BW80)</f>
        <v>58.402375737716362</v>
      </c>
      <c r="X77" s="6">
        <f>IF('[1]GC-TCD'!BX80="","",'[1]GC-TCD'!BX80)</f>
        <v>18.12609677743043</v>
      </c>
      <c r="Y77">
        <v>175.26300000000001</v>
      </c>
      <c r="Z77" s="6">
        <f>IF([1]SS!AB80="","",[1]SS!AB80)</f>
        <v>22499.999999999742</v>
      </c>
      <c r="AA77" s="6">
        <f>IF([1]SS!AG80="","",[1]SS!AG80)</f>
        <v>215.99999999999841</v>
      </c>
      <c r="AB77" s="6">
        <f>IF([1]流量!AF80="","",[1]流量!AF80)</f>
        <v>2.1196948021001787</v>
      </c>
      <c r="AC77" s="6">
        <f>IF([1]流量!AN80="","",[1]流量!AN80)</f>
        <v>0.61268379887949387</v>
      </c>
      <c r="AD77" s="4">
        <f>IF([1]氣體產量!AH80="","",[1]氣體產量!AH80)</f>
        <v>0.30018043906325892</v>
      </c>
      <c r="AE77" s="4">
        <f>IF([1]methane_yield!W80="","",[1]methane_yield!W80)</f>
        <v>8.4502171038527155E-2</v>
      </c>
      <c r="AF77" s="4">
        <f>IF([1]methane_yield!AA80="","",[1]methane_yield!AA80)</f>
        <v>0.15447190171543157</v>
      </c>
    </row>
    <row r="78" spans="1:32">
      <c r="A78" s="1">
        <v>44912</v>
      </c>
      <c r="B78">
        <v>77</v>
      </c>
      <c r="C78" t="s">
        <v>104</v>
      </c>
      <c r="D78" s="6">
        <f>IF('[1]env-PLC'!S81="","",'[1]env-PLC'!S81)</f>
        <v>32.6</v>
      </c>
      <c r="E78" s="6">
        <f>IF('[1]env-PLC'!T81="","",'[1]env-PLC'!T81)</f>
        <v>6.5964999999999989</v>
      </c>
      <c r="F78" s="6">
        <f>IF('[1]env-PLC'!U81="","",'[1]env-PLC'!U81)</f>
        <v>-345.65</v>
      </c>
      <c r="G78" s="6">
        <f>IF('[1]env-PLC'!V81="","",'[1]env-PLC'!V81)</f>
        <v>44.1</v>
      </c>
      <c r="H78" s="6">
        <f>IF([1]鹼度!L81="","",[1]鹼度!L81)</f>
        <v>1580.25</v>
      </c>
      <c r="I78" s="6">
        <f>IF([1]HPLC!CH81="","",[1]HPLC!CH81)</f>
        <v>1.7875685649999999</v>
      </c>
      <c r="J78" s="6">
        <f>IF([1]HPLC!CI81="","",[1]HPLC!CI81)</f>
        <v>13.60938288</v>
      </c>
      <c r="K78" s="6">
        <f>IF([1]HPLC!CJ81="","",[1]HPLC!CJ81)</f>
        <v>58.338468523000003</v>
      </c>
      <c r="L78" s="6">
        <f>IF([1]HPLC!CK81="","",[1]HPLC!CK81)</f>
        <v>0</v>
      </c>
      <c r="M78" s="6">
        <f>IF([1]HPLC!CL81="","",[1]HPLC!CL81)</f>
        <v>0</v>
      </c>
      <c r="N78" s="6">
        <f>IF([1]HPLC!CM81="","",[1]HPLC!CM81)</f>
        <v>0</v>
      </c>
      <c r="O78" s="6">
        <f>IF([1]HPLC!CN81="","",[1]HPLC!CN81)</f>
        <v>103.27877614908</v>
      </c>
      <c r="P78" s="6">
        <f>IF([1]HPLC!CO81="","",[1]HPLC!CO81)</f>
        <v>230</v>
      </c>
      <c r="Q78" s="6">
        <f>IF([1]HPLC!CP81="","",[1]HPLC!CP81)</f>
        <v>0.44903815716991308</v>
      </c>
      <c r="R78" s="6">
        <f>IF([1]HPLC!CQ81="","",[1]HPLC!CQ81)</f>
        <v>95.389340350487501</v>
      </c>
      <c r="S78" s="6">
        <f>IF([1]HPLC!CR81="","",[1]HPLC!CR81)</f>
        <v>89.732142857142861</v>
      </c>
      <c r="T78" s="5">
        <f>IF([1]氣體產量!AC81="","",[1]氣體產量!AC81)</f>
        <v>6.7447953900606414E-2</v>
      </c>
      <c r="U78" s="3">
        <f>IF('[1]GC-TCD'!BU81="","",'[1]GC-TCD'!BU81)</f>
        <v>0</v>
      </c>
      <c r="V78" s="6">
        <f>IF('[1]GC-TCD'!BV81="","",'[1]GC-TCD'!BV81)</f>
        <v>24.338822186918925</v>
      </c>
      <c r="W78" s="6">
        <f>IF('[1]GC-TCD'!BW81="","",'[1]GC-TCD'!BW81)</f>
        <v>58.236781259411842</v>
      </c>
      <c r="X78" s="6">
        <f>IF('[1]GC-TCD'!BX81="","",'[1]GC-TCD'!BX81)</f>
        <v>17.424396553669226</v>
      </c>
      <c r="Y78">
        <v>197.59399999999999</v>
      </c>
      <c r="Z78" s="6">
        <f>IF([1]SS!AB81="","",[1]SS!AB81)</f>
        <v>5749.9999999999218</v>
      </c>
      <c r="AA78" s="6">
        <f>IF([1]SS!AG81="","",[1]SS!AG81)</f>
        <v>140.00000000000011</v>
      </c>
      <c r="AB78" s="6">
        <f>IF([1]流量!AF81="","",[1]流量!AF81)</f>
        <v>1.8682994662038079</v>
      </c>
      <c r="AC78" s="6">
        <f>IF([1]流量!AN81="","",[1]流量!AN81)</f>
        <v>0.5879999999993889</v>
      </c>
      <c r="AD78" s="4">
        <f>IF([1]氣體產量!AH81="","",[1]氣體產量!AH81)</f>
        <v>3.9279517377045089E-2</v>
      </c>
      <c r="AE78" s="4">
        <f>IF([1]methane_yield!W81="","",[1]methane_yield!W81)</f>
        <v>1.0504617191341499E-2</v>
      </c>
      <c r="AF78" s="4">
        <f>IF([1]methane_yield!AA81="","",[1]methane_yield!AA81)</f>
        <v>2.0008794650195082E-2</v>
      </c>
    </row>
    <row r="79" spans="1:32">
      <c r="A79" s="1">
        <v>44913</v>
      </c>
      <c r="B79">
        <v>78</v>
      </c>
      <c r="C79" t="s">
        <v>105</v>
      </c>
      <c r="D79" s="6">
        <f>IF('[1]env-PLC'!S82="","",'[1]env-PLC'!S82)</f>
        <v>32.637500000000003</v>
      </c>
      <c r="E79" s="6">
        <f>IF('[1]env-PLC'!T82="","",'[1]env-PLC'!T82)</f>
        <v>6.496249999999999</v>
      </c>
      <c r="F79" s="6">
        <f>IF('[1]env-PLC'!U82="","",'[1]env-PLC'!U82)</f>
        <v>-405.58333333333331</v>
      </c>
      <c r="G79" s="6">
        <f>IF('[1]env-PLC'!V82="","",'[1]env-PLC'!V82)</f>
        <v>46.4</v>
      </c>
      <c r="H79" s="6">
        <f>IF([1]鹼度!L82="","",[1]鹼度!L82)</f>
        <v>1546.65</v>
      </c>
      <c r="I79" s="6">
        <f>IF([1]HPLC!CH82="","",[1]HPLC!CH82)</f>
        <v>1.5965778360000003</v>
      </c>
      <c r="J79" s="6">
        <f>IF([1]HPLC!CI82="","",[1]HPLC!CI82)</f>
        <v>9.0895820400000016</v>
      </c>
      <c r="K79" s="6">
        <f>IF([1]HPLC!CJ82="","",[1]HPLC!CJ82)</f>
        <v>98.148656226</v>
      </c>
      <c r="L79" s="6">
        <f>IF([1]HPLC!CK82="","",[1]HPLC!CK82)</f>
        <v>2.5748112380000001</v>
      </c>
      <c r="M79" s="6">
        <f>IF([1]HPLC!CL82="","",[1]HPLC!CL82)</f>
        <v>0</v>
      </c>
      <c r="N79" s="6">
        <f>IF([1]HPLC!CM82="","",[1]HPLC!CM82)</f>
        <v>0</v>
      </c>
      <c r="O79" s="6">
        <f>IF([1]HPLC!CN82="","",[1]HPLC!CN82)</f>
        <v>163.17528237982003</v>
      </c>
      <c r="P79" s="6">
        <f>IF([1]HPLC!CO82="","",[1]HPLC!CO82)</f>
        <v>280</v>
      </c>
      <c r="Q79" s="6">
        <f>IF([1]HPLC!CP82="","",[1]HPLC!CP82)</f>
        <v>0.58276886564221442</v>
      </c>
      <c r="R79" s="6">
        <f>IF([1]HPLC!CQ82="","",[1]HPLC!CQ82)</f>
        <v>92.715389179472325</v>
      </c>
      <c r="S79" s="6">
        <f>IF([1]HPLC!CR82="","",[1]HPLC!CR82)</f>
        <v>87.5</v>
      </c>
      <c r="T79" s="5">
        <f>IF([1]氣體產量!AC82="","",[1]氣體產量!AC82)</f>
        <v>0.497664</v>
      </c>
      <c r="U79" s="3">
        <f>IF('[1]GC-TCD'!BU82="","",'[1]GC-TCD'!BU82)</f>
        <v>0</v>
      </c>
      <c r="V79" s="6">
        <f>IF('[1]GC-TCD'!BV82="","",'[1]GC-TCD'!BV82)</f>
        <v>25.891033586304772</v>
      </c>
      <c r="W79" s="6">
        <f>IF('[1]GC-TCD'!BW82="","",'[1]GC-TCD'!BW82)</f>
        <v>54.892190004802224</v>
      </c>
      <c r="X79" s="6">
        <f>IF('[1]GC-TCD'!BX82="","",'[1]GC-TCD'!BX82)</f>
        <v>19.216776408893015</v>
      </c>
      <c r="Y79">
        <v>182.99299999999999</v>
      </c>
      <c r="Z79" s="6">
        <f>IF([1]SS!AB82="","",[1]SS!AB82)</f>
        <v>5999.9999999998945</v>
      </c>
      <c r="AA79" s="6">
        <f>IF([1]SS!AG82="","",[1]SS!AG82)</f>
        <v>194.2857142857151</v>
      </c>
      <c r="AB79" s="6">
        <f>IF([1]流量!AF82="","",[1]流量!AF82)</f>
        <v>2.0440510724475196</v>
      </c>
      <c r="AC79" s="6" t="str">
        <f>IF([1]流量!AN82="","",[1]流量!AN82)</f>
        <v/>
      </c>
      <c r="AD79" s="4">
        <f>IF([1]氣體產量!AH82="","",[1]氣體產量!AH82)</f>
        <v>0.27317866846549893</v>
      </c>
      <c r="AE79" s="4" t="str">
        <f>IF([1]methane_yield!W82="","",[1]methane_yield!W82)</f>
        <v/>
      </c>
      <c r="AF79" s="4" t="str">
        <f>IF([1]methane_yield!AA82="","",[1]methane_yield!AA82)</f>
        <v/>
      </c>
    </row>
    <row r="80" spans="1:32">
      <c r="A80" s="1">
        <v>44914</v>
      </c>
      <c r="B80">
        <v>79</v>
      </c>
      <c r="C80" t="s">
        <v>106</v>
      </c>
      <c r="D80" s="6">
        <f>IF('[1]env-PLC'!S83="","",'[1]env-PLC'!S83)</f>
        <v>32.505263157894746</v>
      </c>
      <c r="E80" s="6">
        <f>IF('[1]env-PLC'!T83="","",'[1]env-PLC'!T83)</f>
        <v>6.4289473684210527</v>
      </c>
      <c r="F80" s="6">
        <f>IF('[1]env-PLC'!U83="","",'[1]env-PLC'!U83)</f>
        <v>-427.10526315789474</v>
      </c>
      <c r="G80" s="6">
        <f>IF('[1]env-PLC'!V83="","",'[1]env-PLC'!V83)</f>
        <v>46.9</v>
      </c>
      <c r="H80" s="6">
        <f>IF([1]鹼度!L83="","",[1]鹼度!L83)</f>
        <v>1499.3</v>
      </c>
      <c r="I80" s="6">
        <f>IF([1]HPLC!CH83="","",[1]HPLC!CH83)</f>
        <v>0.6103781439999999</v>
      </c>
      <c r="J80" s="6">
        <f>IF([1]HPLC!CI83="","",[1]HPLC!CI83)</f>
        <v>12.332604119999999</v>
      </c>
      <c r="K80" s="6">
        <f>IF([1]HPLC!CJ83="","",[1]HPLC!CJ83)</f>
        <v>120.52560739400001</v>
      </c>
      <c r="L80" s="6">
        <f>IF([1]HPLC!CK83="","",[1]HPLC!CK83)</f>
        <v>2.6618597819999996</v>
      </c>
      <c r="M80" s="6">
        <f>IF([1]HPLC!CL83="","",[1]HPLC!CL83)</f>
        <v>0</v>
      </c>
      <c r="N80" s="6">
        <f>IF([1]HPLC!CM83="","",[1]HPLC!CM83)</f>
        <v>0</v>
      </c>
      <c r="O80" s="6">
        <f>IF([1]HPLC!CN83="","",[1]HPLC!CN83)</f>
        <v>200.24777072698001</v>
      </c>
      <c r="P80" s="6">
        <f>IF([1]HPLC!CO83="","",[1]HPLC!CO83)</f>
        <v>540</v>
      </c>
      <c r="Q80" s="6">
        <f>IF([1]HPLC!CP83="","",[1]HPLC!CP83)</f>
        <v>0.37082920504996297</v>
      </c>
      <c r="R80" s="6">
        <f>IF([1]HPLC!CQ83="","",[1]HPLC!CQ83)</f>
        <v>91.060367378259826</v>
      </c>
      <c r="S80" s="6">
        <f>IF([1]HPLC!CR83="","",[1]HPLC!CR83)</f>
        <v>75.892857142857139</v>
      </c>
      <c r="T80" s="5">
        <f>IF([1]氣體產量!AC83="","",[1]氣體產量!AC83)</f>
        <v>0.56647597797566285</v>
      </c>
      <c r="U80" s="3">
        <f>IF('[1]GC-TCD'!BU83="","",'[1]GC-TCD'!BU83)</f>
        <v>0</v>
      </c>
      <c r="V80" s="6">
        <f>IF('[1]GC-TCD'!BV83="","",'[1]GC-TCD'!BV83)</f>
        <v>15.335065084196806</v>
      </c>
      <c r="W80" s="6">
        <f>IF('[1]GC-TCD'!BW83="","",'[1]GC-TCD'!BW83)</f>
        <v>57.216131173191101</v>
      </c>
      <c r="X80" s="6">
        <f>IF('[1]GC-TCD'!BX83="","",'[1]GC-TCD'!BX83)</f>
        <v>27.448803742612093</v>
      </c>
      <c r="Y80">
        <v>235.01900000000001</v>
      </c>
      <c r="Z80" s="6">
        <f>IF([1]SS!AB83="","",[1]SS!AB83)</f>
        <v>26249.999999999884</v>
      </c>
      <c r="AA80" s="6">
        <f>IF([1]SS!AG83="","",[1]SS!AG83)</f>
        <v>285.9999999999996</v>
      </c>
      <c r="AB80" s="6">
        <f>IF([1]流量!AF83="","",[1]流量!AF83)</f>
        <v>3.1593282910101976</v>
      </c>
      <c r="AC80" s="6">
        <f>IF([1]流量!AN83="","",[1]流量!AN83)</f>
        <v>1.0738276962383539</v>
      </c>
      <c r="AD80" s="4">
        <f>IF([1]氣體產量!AH83="","",[1]氣體產量!AH83)</f>
        <v>0.32411563862317239</v>
      </c>
      <c r="AE80" s="4">
        <f>IF([1]methane_yield!W83="","",[1]methane_yield!W83)</f>
        <v>9.0799722484974602E-2</v>
      </c>
      <c r="AF80" s="4">
        <f>IF([1]methane_yield!AA83="","",[1]methane_yield!AA83)</f>
        <v>9.4703917154878914E-2</v>
      </c>
    </row>
    <row r="81" spans="1:32">
      <c r="A81" s="1">
        <v>44915</v>
      </c>
      <c r="B81">
        <v>80</v>
      </c>
      <c r="C81" t="s">
        <v>107</v>
      </c>
      <c r="D81" s="6">
        <f>IF('[1]env-PLC'!S84="","",'[1]env-PLC'!S84)</f>
        <v>32.805263157894743</v>
      </c>
      <c r="E81" s="6">
        <f>IF('[1]env-PLC'!T84="","",'[1]env-PLC'!T84)</f>
        <v>6.4121052631578941</v>
      </c>
      <c r="F81" s="6">
        <f>IF('[1]env-PLC'!U84="","",'[1]env-PLC'!U84)</f>
        <v>-429.31578947368422</v>
      </c>
      <c r="G81" s="6">
        <f>IF('[1]env-PLC'!V84="","",'[1]env-PLC'!V84)</f>
        <v>48.6</v>
      </c>
      <c r="H81" s="6">
        <f>IF([1]鹼度!L84="","",[1]鹼度!L84)</f>
        <v>1528.2000000000003</v>
      </c>
      <c r="I81" s="6">
        <f>IF([1]HPLC!CH84="","",[1]HPLC!CH84)</f>
        <v>2.1990628449999998</v>
      </c>
      <c r="J81" s="6">
        <f>IF([1]HPLC!CI84="","",[1]HPLC!CI84)</f>
        <v>10.8385686</v>
      </c>
      <c r="K81" s="6">
        <f>IF([1]HPLC!CJ84="","",[1]HPLC!CJ84)</f>
        <v>70.916437666999997</v>
      </c>
      <c r="L81" s="6">
        <f>IF([1]HPLC!CK84="","",[1]HPLC!CK84)</f>
        <v>2.2726881240000001</v>
      </c>
      <c r="M81" s="6">
        <f>IF([1]HPLC!CL84="","",[1]HPLC!CL84)</f>
        <v>0</v>
      </c>
      <c r="N81" s="6">
        <f>IF([1]HPLC!CM84="","",[1]HPLC!CM84)</f>
        <v>2.6154827839999997</v>
      </c>
      <c r="O81" s="6">
        <f>IF([1]HPLC!CN84="","",[1]HPLC!CN84)</f>
        <v>128.92263853995999</v>
      </c>
      <c r="P81" s="6">
        <f>IF([1]HPLC!CO84="","",[1]HPLC!CO84)</f>
        <v>440</v>
      </c>
      <c r="Q81" s="6">
        <f>IF([1]HPLC!CP84="","",[1]HPLC!CP84)</f>
        <v>0.29300599668172728</v>
      </c>
      <c r="R81" s="6">
        <f>IF([1]HPLC!CQ84="","",[1]HPLC!CQ84)</f>
        <v>94.244525065180355</v>
      </c>
      <c r="S81" s="6">
        <f>IF([1]HPLC!CR84="","",[1]HPLC!CR84)</f>
        <v>80.357142857142861</v>
      </c>
      <c r="T81" s="5">
        <f>IF([1]氣體產量!AC84="","",[1]氣體產量!AC84)</f>
        <v>0.51577502778769146</v>
      </c>
      <c r="U81" s="3">
        <f>IF('[1]GC-TCD'!BU84="","",'[1]GC-TCD'!BU84)</f>
        <v>0</v>
      </c>
      <c r="V81" s="6">
        <f>IF('[1]GC-TCD'!BV84="","",'[1]GC-TCD'!BV84)</f>
        <v>30.974036687158296</v>
      </c>
      <c r="W81" s="6">
        <f>IF('[1]GC-TCD'!BW84="","",'[1]GC-TCD'!BW84)</f>
        <v>52.860553713842151</v>
      </c>
      <c r="X81" s="6">
        <f>IF('[1]GC-TCD'!BX84="","",'[1]GC-TCD'!BX84)</f>
        <v>16.16540959899956</v>
      </c>
      <c r="Y81">
        <v>220.083</v>
      </c>
      <c r="Z81" s="6">
        <f>IF([1]SS!AB84="","",[1]SS!AB84)</f>
        <v>26500.000000000411</v>
      </c>
      <c r="AA81" s="6">
        <f>IF([1]SS!AG84="","",[1]SS!AG84)</f>
        <v>358.00000000000057</v>
      </c>
      <c r="AB81" s="6">
        <f>IF([1]流量!AF84="","",[1]流量!AF84)</f>
        <v>2.0788294374679936</v>
      </c>
      <c r="AC81" s="6">
        <f>IF([1]流量!AN84="","",[1]流量!AN84)</f>
        <v>1.1015160839169809</v>
      </c>
      <c r="AD81" s="4">
        <f>IF([1]氣體產量!AH84="","",[1]氣體產量!AH84)</f>
        <v>0.27264153560629695</v>
      </c>
      <c r="AE81" s="4">
        <f>IF([1]methane_yield!W84="","",[1]methane_yield!W84)</f>
        <v>7.379888868489827E-2</v>
      </c>
      <c r="AF81" s="4">
        <f>IF([1]methane_yield!AA84="","",[1]methane_yield!AA84)</f>
        <v>7.5037265940926204E-2</v>
      </c>
    </row>
    <row r="82" spans="1:32">
      <c r="A82" s="1">
        <v>44916</v>
      </c>
      <c r="B82">
        <v>81</v>
      </c>
      <c r="C82" t="s">
        <v>108</v>
      </c>
      <c r="D82" s="6">
        <f>IF('[1]env-PLC'!S85="","",'[1]env-PLC'!S85)</f>
        <v>32.6</v>
      </c>
      <c r="E82" s="6">
        <f>IF('[1]env-PLC'!T85="","",'[1]env-PLC'!T85)</f>
        <v>6.4308333333333314</v>
      </c>
      <c r="F82" s="6">
        <f>IF('[1]env-PLC'!U85="","",'[1]env-PLC'!U85)</f>
        <v>-373.04166666666669</v>
      </c>
      <c r="G82" s="6">
        <f>IF('[1]env-PLC'!V85="","",'[1]env-PLC'!V85)</f>
        <v>48.8</v>
      </c>
      <c r="H82" s="6">
        <f>IF([1]鹼度!L85="","",[1]鹼度!L85)</f>
        <v>1507.4500000000003</v>
      </c>
      <c r="I82" s="6">
        <f>IF([1]HPLC!CH85="","",[1]HPLC!CH85)</f>
        <v>1.7640660340000003</v>
      </c>
      <c r="J82" s="6">
        <f>IF([1]HPLC!CI85="","",[1]HPLC!CI85)</f>
        <v>33.045606599999999</v>
      </c>
      <c r="K82" s="6">
        <f>IF([1]HPLC!CJ85="","",[1]HPLC!CJ85)</f>
        <v>148.55098148500002</v>
      </c>
      <c r="L82" s="6">
        <f>IF([1]HPLC!CK85="","",[1]HPLC!CK85)</f>
        <v>2.8192661679999995</v>
      </c>
      <c r="M82" s="6">
        <f>IF([1]HPLC!CL85="","",[1]HPLC!CL85)</f>
        <v>0</v>
      </c>
      <c r="N82" s="6">
        <f>IF([1]HPLC!CM85="","",[1]HPLC!CM85)</f>
        <v>7.9562765679999989</v>
      </c>
      <c r="O82" s="6">
        <f>IF([1]HPLC!CN85="","",[1]HPLC!CN85)</f>
        <v>281.65007284073005</v>
      </c>
      <c r="P82" s="6">
        <f>IF([1]HPLC!CO85="","",[1]HPLC!CO85)</f>
        <v>340</v>
      </c>
      <c r="Q82" s="6">
        <f>IF([1]HPLC!CP85="","",[1]HPLC!CP85)</f>
        <v>0.8283825671786178</v>
      </c>
      <c r="R82" s="6">
        <f>IF([1]HPLC!CQ85="","",[1]HPLC!CQ85)</f>
        <v>87.426336033895979</v>
      </c>
      <c r="S82" s="6">
        <f>IF([1]HPLC!CR85="","",[1]HPLC!CR85)</f>
        <v>84.821428571428569</v>
      </c>
      <c r="T82" s="5">
        <f>IF([1]氣體產量!AC85="","",[1]氣體產量!AC85)</f>
        <v>0.3166681245398475</v>
      </c>
      <c r="U82" s="3">
        <f>IF('[1]GC-TCD'!BU85="","",'[1]GC-TCD'!BU85)</f>
        <v>0</v>
      </c>
      <c r="V82" s="6">
        <f>IF('[1]GC-TCD'!BV85="","",'[1]GC-TCD'!BV85)</f>
        <v>17.755696844936057</v>
      </c>
      <c r="W82" s="6">
        <f>IF('[1]GC-TCD'!BW85="","",'[1]GC-TCD'!BW85)</f>
        <v>56.899110907985374</v>
      </c>
      <c r="X82" s="6">
        <f>IF('[1]GC-TCD'!BX85="","",'[1]GC-TCD'!BX85)</f>
        <v>25.345192247078579</v>
      </c>
      <c r="Y82">
        <v>236.07900000000001</v>
      </c>
      <c r="Z82" s="6">
        <f>IF([1]SS!AB85="","",[1]SS!AB85)</f>
        <v>26499.999999999854</v>
      </c>
      <c r="AA82" s="6">
        <f>IF([1]SS!AG85="","",[1]SS!AG85)</f>
        <v>190.00000000000128</v>
      </c>
      <c r="AB82" s="6">
        <f>IF([1]流量!AF85="","",[1]流量!AF85)</f>
        <v>2.0632496039864896</v>
      </c>
      <c r="AC82" s="6">
        <f>IF([1]流量!AN85="","",[1]流量!AN85)</f>
        <v>1.0484537313469271</v>
      </c>
      <c r="AD82" s="4">
        <f>IF([1]氣體產量!AH85="","",[1]氣體產量!AH85)</f>
        <v>0.18018134739216507</v>
      </c>
      <c r="AE82" s="4">
        <f>IF([1]methane_yield!W85="","",[1]methane_yield!W85)</f>
        <v>5.2575266815431794E-2</v>
      </c>
      <c r="AF82" s="4">
        <f>IF([1]methane_yield!AA85="","",[1]methane_yield!AA85)</f>
        <v>5.6162992293075406E-2</v>
      </c>
    </row>
    <row r="83" spans="1:32">
      <c r="A83" s="1">
        <v>44917</v>
      </c>
      <c r="B83">
        <v>82</v>
      </c>
      <c r="C83" t="s">
        <v>109</v>
      </c>
      <c r="D83" s="6">
        <f>IF('[1]env-PLC'!S86="","",'[1]env-PLC'!S86)</f>
        <v>32.742857142857154</v>
      </c>
      <c r="E83" s="6">
        <f>IF('[1]env-PLC'!T86="","",'[1]env-PLC'!T86)</f>
        <v>6.4152380952380934</v>
      </c>
      <c r="F83" s="6">
        <f>IF('[1]env-PLC'!U86="","",'[1]env-PLC'!U86)</f>
        <v>-419.8095238095238</v>
      </c>
      <c r="G83" s="6">
        <f>IF('[1]env-PLC'!V86="","",'[1]env-PLC'!V86)</f>
        <v>49.6</v>
      </c>
      <c r="H83" s="6">
        <f>IF([1]鹼度!L86="","",[1]鹼度!L86)</f>
        <v>1523.3000000000002</v>
      </c>
      <c r="I83" s="6">
        <f>IF([1]HPLC!CH86="","",[1]HPLC!CH86)</f>
        <v>1.7864006379999999</v>
      </c>
      <c r="J83" s="6">
        <f>IF([1]HPLC!CI86="","",[1]HPLC!CI86)</f>
        <v>35.898493319999993</v>
      </c>
      <c r="K83" s="6">
        <f>IF([1]HPLC!CJ86="","",[1]HPLC!CJ86)</f>
        <v>164.35374730800001</v>
      </c>
      <c r="L83" s="6">
        <f>IF([1]HPLC!CK86="","",[1]HPLC!CK86)</f>
        <v>3.1039234699999998</v>
      </c>
      <c r="M83" s="6">
        <f>IF([1]HPLC!CL86="","",[1]HPLC!CL86)</f>
        <v>0</v>
      </c>
      <c r="N83" s="6">
        <f>IF([1]HPLC!CM86="","",[1]HPLC!CM86)</f>
        <v>9.8142257679999982</v>
      </c>
      <c r="O83" s="6">
        <f>IF([1]HPLC!CN86="","",[1]HPLC!CN86)</f>
        <v>312.88094779289997</v>
      </c>
      <c r="P83" s="6">
        <f>IF([1]HPLC!CO86="","",[1]HPLC!CO86)</f>
        <v>410</v>
      </c>
      <c r="Q83" s="6">
        <f>IF([1]HPLC!CP86="","",[1]HPLC!CP86)</f>
        <v>0.76312426290951219</v>
      </c>
      <c r="R83" s="6">
        <f>IF([1]HPLC!CQ86="","",[1]HPLC!CQ86)</f>
        <v>86.032100544959832</v>
      </c>
      <c r="S83" s="6">
        <f>IF([1]HPLC!CR86="","",[1]HPLC!CR86)</f>
        <v>81.696428571428569</v>
      </c>
      <c r="T83" s="5">
        <f>IF([1]氣體產量!AC86="","",[1]氣體產量!AC86)</f>
        <v>0.52643101162801231</v>
      </c>
      <c r="U83" s="3">
        <f>IF('[1]GC-TCD'!BU86="","",'[1]GC-TCD'!BU86)</f>
        <v>0</v>
      </c>
      <c r="V83" s="6">
        <f>IF('[1]GC-TCD'!BV86="","",'[1]GC-TCD'!BV86)</f>
        <v>16.922798298603681</v>
      </c>
      <c r="W83" s="6">
        <f>IF('[1]GC-TCD'!BW86="","",'[1]GC-TCD'!BW86)</f>
        <v>57.387399556228615</v>
      </c>
      <c r="X83" s="6">
        <f>IF('[1]GC-TCD'!BX86="","",'[1]GC-TCD'!BX86)</f>
        <v>25.689802145167697</v>
      </c>
      <c r="Y83">
        <v>274.42500000000001</v>
      </c>
      <c r="Z83" s="6">
        <f>IF([1]SS!AB86="","",[1]SS!AB86)</f>
        <v>29000.000000000135</v>
      </c>
      <c r="AA83" s="6">
        <f>IF([1]SS!AG86="","",[1]SS!AG86)</f>
        <v>274.99999999999744</v>
      </c>
      <c r="AB83" s="6">
        <f>IF([1]流量!AF86="","",[1]流量!AF86)</f>
        <v>2.0821375615725009</v>
      </c>
      <c r="AC83" s="6">
        <f>IF([1]流量!AN86="","",[1]流量!AN86)</f>
        <v>1.0851497975714348</v>
      </c>
      <c r="AD83" s="4">
        <f>IF([1]氣體產量!AH86="","",[1]氣體產量!AH86)</f>
        <v>0.30210506803086373</v>
      </c>
      <c r="AE83" s="4">
        <f>IF([1]methane_yield!W86="","",[1]methane_yield!W86)</f>
        <v>8.9580074074041047E-2</v>
      </c>
      <c r="AF83" s="4">
        <f>IF([1]methane_yield!AA86="","",[1]methane_yield!AA86)</f>
        <v>9.2456989060371031E-2</v>
      </c>
    </row>
    <row r="84" spans="1:32">
      <c r="A84" s="1">
        <v>44918</v>
      </c>
      <c r="B84">
        <v>83</v>
      </c>
      <c r="C84" t="s">
        <v>110</v>
      </c>
      <c r="D84" s="6">
        <f>IF('[1]env-PLC'!S87="","",'[1]env-PLC'!S87)</f>
        <v>33.30952380952381</v>
      </c>
      <c r="E84" s="6">
        <f>IF('[1]env-PLC'!T87="","",'[1]env-PLC'!T87)</f>
        <v>6.38904761904762</v>
      </c>
      <c r="F84" s="6">
        <f>IF('[1]env-PLC'!U87="","",'[1]env-PLC'!U87)</f>
        <v>-427.1904761904762</v>
      </c>
      <c r="G84" s="6">
        <f>IF('[1]env-PLC'!V87="","",'[1]env-PLC'!V87)</f>
        <v>49.9</v>
      </c>
      <c r="H84" s="6">
        <f>IF([1]鹼度!L87="","",[1]鹼度!L87)</f>
        <v>1550.8</v>
      </c>
      <c r="I84" s="6">
        <f>IF([1]HPLC!CH87="","",[1]HPLC!CH87)</f>
        <v>0.49528133799999996</v>
      </c>
      <c r="J84" s="6">
        <f>IF([1]HPLC!CI87="","",[1]HPLC!CI87)</f>
        <v>35.900385479999997</v>
      </c>
      <c r="K84" s="6">
        <f>IF([1]HPLC!CJ87="","",[1]HPLC!CJ87)</f>
        <v>186.82175033300001</v>
      </c>
      <c r="L84" s="6">
        <f>IF([1]HPLC!CK87="","",[1]HPLC!CK87)</f>
        <v>3.2866870260000001</v>
      </c>
      <c r="M84" s="6">
        <f>IF([1]HPLC!CL87="","",[1]HPLC!CL87)</f>
        <v>0</v>
      </c>
      <c r="N84" s="6">
        <f>IF([1]HPLC!CM87="","",[1]HPLC!CM87)</f>
        <v>4.4156480160000005</v>
      </c>
      <c r="O84" s="6">
        <f>IF([1]HPLC!CN87="","",[1]HPLC!CN87)</f>
        <v>335.67729627469004</v>
      </c>
      <c r="P84" s="6">
        <f>IF([1]HPLC!CO87="","",[1]HPLC!CO87)</f>
        <v>480</v>
      </c>
      <c r="Q84" s="6">
        <f>IF([1]HPLC!CP87="","",[1]HPLC!CP87)</f>
        <v>0.69932770057227089</v>
      </c>
      <c r="R84" s="6">
        <f>IF([1]HPLC!CQ87="","",[1]HPLC!CQ87)</f>
        <v>85.014406416308489</v>
      </c>
      <c r="S84" s="6">
        <f>IF([1]HPLC!CR87="","",[1]HPLC!CR87)</f>
        <v>78.571428571428569</v>
      </c>
      <c r="T84" s="5">
        <f>IF([1]氣體產量!AC87="","",[1]氣體產量!AC87)</f>
        <v>0.52350451980891244</v>
      </c>
      <c r="U84" s="3">
        <f>IF('[1]GC-TCD'!BU87="","",'[1]GC-TCD'!BU87)</f>
        <v>0</v>
      </c>
      <c r="V84" s="6">
        <f>IF('[1]GC-TCD'!BV87="","",'[1]GC-TCD'!BV87)</f>
        <v>17.010917700185324</v>
      </c>
      <c r="W84" s="6">
        <f>IF('[1]GC-TCD'!BW87="","",'[1]GC-TCD'!BW87)</f>
        <v>57.338137298366945</v>
      </c>
      <c r="X84" s="6">
        <f>IF('[1]GC-TCD'!BX87="","",'[1]GC-TCD'!BX87)</f>
        <v>25.650945001447738</v>
      </c>
      <c r="Y84">
        <v>202.77199999999999</v>
      </c>
      <c r="Z84" s="6">
        <f>IF([1]SS!AB87="","",[1]SS!AB87)</f>
        <v>28500.000000000193</v>
      </c>
      <c r="AA84" s="6">
        <f>IF([1]SS!AG87="","",[1]SS!AG87)</f>
        <v>254.99999999999966</v>
      </c>
      <c r="AB84" s="6">
        <f>IF([1]流量!AF87="","",[1]流量!AF87)</f>
        <v>2.1379980563767167</v>
      </c>
      <c r="AC84" s="6">
        <f>IF([1]流量!AN87="","",[1]流量!AN87)</f>
        <v>1.0715366269141873</v>
      </c>
      <c r="AD84" s="4">
        <f>IF([1]氣體產量!AH87="","",[1]氣體產量!AH87)</f>
        <v>0.30016774033119081</v>
      </c>
      <c r="AE84" s="4">
        <f>IF([1]methane_yield!W87="","",[1]methane_yield!W87)</f>
        <v>9.0071090740477963E-2</v>
      </c>
      <c r="AF84" s="4">
        <f>IF([1]methane_yield!AA87="","",[1]methane_yield!AA87)</f>
        <v>9.4144818847535436E-2</v>
      </c>
    </row>
    <row r="85" spans="1:32">
      <c r="A85" s="1">
        <v>44919</v>
      </c>
      <c r="B85">
        <v>84</v>
      </c>
      <c r="C85" t="s">
        <v>111</v>
      </c>
      <c r="D85" s="6">
        <f>IF('[1]env-PLC'!S88="","",'[1]env-PLC'!S88)</f>
        <v>32.859090909090909</v>
      </c>
      <c r="E85" s="6">
        <f>IF('[1]env-PLC'!T88="","",'[1]env-PLC'!T88)</f>
        <v>6.3827272727272737</v>
      </c>
      <c r="F85" s="6">
        <f>IF('[1]env-PLC'!U88="","",'[1]env-PLC'!U88)</f>
        <v>-426.86363636363637</v>
      </c>
      <c r="G85" s="6">
        <f>IF('[1]env-PLC'!V88="","",'[1]env-PLC'!V88)</f>
        <v>50.9</v>
      </c>
      <c r="H85" s="6">
        <f>IF([1]鹼度!L88="","",[1]鹼度!L88)</f>
        <v>1555.6</v>
      </c>
      <c r="I85" s="6">
        <f>IF([1]HPLC!CH88="","",[1]HPLC!CH88)</f>
        <v>1.8143935550000001</v>
      </c>
      <c r="J85" s="6">
        <f>IF([1]HPLC!CI88="","",[1]HPLC!CI88)</f>
        <v>39.172262999999994</v>
      </c>
      <c r="K85" s="6">
        <f>IF([1]HPLC!CJ88="","",[1]HPLC!CJ88)</f>
        <v>215.543150664</v>
      </c>
      <c r="L85" s="6">
        <f>IF([1]HPLC!CK88="","",[1]HPLC!CK88)</f>
        <v>3.4808114799999998</v>
      </c>
      <c r="M85" s="6">
        <f>IF([1]HPLC!CL88="","",[1]HPLC!CL88)</f>
        <v>0</v>
      </c>
      <c r="N85" s="6">
        <f>IF([1]HPLC!CM88="","",[1]HPLC!CM88)</f>
        <v>1.1613977919999998</v>
      </c>
      <c r="O85" s="6">
        <f>IF([1]HPLC!CN88="","",[1]HPLC!CN88)</f>
        <v>376.72384504616997</v>
      </c>
      <c r="P85" s="6">
        <f>IF([1]HPLC!CO88="","",[1]HPLC!CO88)</f>
        <v>480</v>
      </c>
      <c r="Q85" s="6">
        <f>IF([1]HPLC!CP88="","",[1]HPLC!CP88)</f>
        <v>0.78484134384618742</v>
      </c>
      <c r="R85" s="6">
        <f>IF([1]HPLC!CQ88="","",[1]HPLC!CQ88)</f>
        <v>83.181971203295973</v>
      </c>
      <c r="S85" s="6">
        <f>IF([1]HPLC!CR88="","",[1]HPLC!CR88)</f>
        <v>78.571428571428569</v>
      </c>
      <c r="T85" s="5">
        <f>IF([1]氣體產量!AC88="","",[1]氣體產量!AC88)</f>
        <v>0.51672623722819233</v>
      </c>
      <c r="U85" s="3">
        <f>IF('[1]GC-TCD'!BU88="","",'[1]GC-TCD'!BU88)</f>
        <v>0</v>
      </c>
      <c r="V85" s="6">
        <f>IF('[1]GC-TCD'!BV88="","",'[1]GC-TCD'!BV88)</f>
        <v>14.011696642913108</v>
      </c>
      <c r="W85" s="6">
        <f>IF('[1]GC-TCD'!BW88="","",'[1]GC-TCD'!BW88)</f>
        <v>57.802471341594206</v>
      </c>
      <c r="X85" s="6">
        <f>IF('[1]GC-TCD'!BX88="","",'[1]GC-TCD'!BX88)</f>
        <v>28.1858320154927</v>
      </c>
      <c r="Y85">
        <v>247.62799999999999</v>
      </c>
      <c r="Z85" s="6">
        <f>IF([1]SS!AB88="","",[1]SS!AB88)</f>
        <v>24500.000000000076</v>
      </c>
      <c r="AA85" s="6">
        <f>IF([1]SS!AG88="","",[1]SS!AG88)</f>
        <v>252.49999999999994</v>
      </c>
      <c r="AB85" s="6">
        <f>IF([1]流量!AF88="","",[1]流量!AF88)</f>
        <v>2.1430292674342146</v>
      </c>
      <c r="AC85" s="6">
        <f>IF([1]流量!AN88="","",[1]流量!AN88)</f>
        <v>1.0980337289187867</v>
      </c>
      <c r="AD85" s="4">
        <f>IF([1]氣體產量!AH88="","",[1]氣體產量!AH88)</f>
        <v>0.29868053518832399</v>
      </c>
      <c r="AE85" s="4">
        <f>IF([1]methane_yield!W88="","",[1]methane_yield!W88)</f>
        <v>9.1599192681352304E-2</v>
      </c>
      <c r="AF85" s="4">
        <f>IF([1]methane_yield!AA88="","",[1]methane_yield!AA88)</f>
        <v>9.3431643401459194E-2</v>
      </c>
    </row>
    <row r="86" spans="1:32">
      <c r="A86" s="1">
        <v>44920</v>
      </c>
      <c r="B86">
        <v>85</v>
      </c>
      <c r="C86" t="s">
        <v>112</v>
      </c>
      <c r="D86" s="6">
        <f>IF('[1]env-PLC'!S89="","",'[1]env-PLC'!S89)</f>
        <v>32.972727272727269</v>
      </c>
      <c r="E86" s="6">
        <f>IF('[1]env-PLC'!T89="","",'[1]env-PLC'!T89)</f>
        <v>6.3654545454545453</v>
      </c>
      <c r="F86" s="6">
        <f>IF('[1]env-PLC'!U89="","",'[1]env-PLC'!U89)</f>
        <v>-426.68181818181819</v>
      </c>
      <c r="G86" s="6">
        <f>IF('[1]env-PLC'!V89="","",'[1]env-PLC'!V89)</f>
        <v>51.3</v>
      </c>
      <c r="H86" s="6">
        <f>IF([1]鹼度!L89="","",[1]鹼度!L89)</f>
        <v>1565.4</v>
      </c>
      <c r="I86" s="6">
        <f>IF([1]HPLC!CH89="","",[1]HPLC!CH89)</f>
        <v>2.0448004869999998</v>
      </c>
      <c r="J86" s="6">
        <f>IF([1]HPLC!CI89="","",[1]HPLC!CI89)</f>
        <v>42.171765839999999</v>
      </c>
      <c r="K86" s="6">
        <f>IF([1]HPLC!CJ89="","",[1]HPLC!CJ89)</f>
        <v>224.668634083</v>
      </c>
      <c r="L86" s="6">
        <f>IF([1]HPLC!CK89="","",[1]HPLC!CK89)</f>
        <v>3.8623870599999997</v>
      </c>
      <c r="M86" s="6">
        <f>IF([1]HPLC!CL89="","",[1]HPLC!CL89)</f>
        <v>0</v>
      </c>
      <c r="N86" s="6">
        <f>IF([1]HPLC!CM89="","",[1]HPLC!CM89)</f>
        <v>0.91013767999999995</v>
      </c>
      <c r="O86" s="6">
        <f>IF([1]HPLC!CN89="","",[1]HPLC!CN89)</f>
        <v>393.97533240097999</v>
      </c>
      <c r="P86" s="6">
        <f>IF([1]HPLC!CO89="","",[1]HPLC!CO89)</f>
        <v>350</v>
      </c>
      <c r="Q86" s="6">
        <f>IF([1]HPLC!CP89="","",[1]HPLC!CP89)</f>
        <v>1.1256438068599428</v>
      </c>
      <c r="R86" s="6">
        <f>IF([1]HPLC!CQ89="","",[1]HPLC!CQ89)</f>
        <v>82.411815517813395</v>
      </c>
      <c r="S86" s="6">
        <f>IF([1]HPLC!CR89="","",[1]HPLC!CR89)</f>
        <v>84.375</v>
      </c>
      <c r="T86" s="5">
        <f>IF([1]氣體產量!AC89="","",[1]氣體產量!AC89)</f>
        <v>0.53318947758611712</v>
      </c>
      <c r="U86" s="3">
        <f>IF('[1]GC-TCD'!BU89="","",'[1]GC-TCD'!BU89)</f>
        <v>0</v>
      </c>
      <c r="V86" s="6">
        <f>IF('[1]GC-TCD'!BV89="","",'[1]GC-TCD'!BV89)</f>
        <v>16.046453353139235</v>
      </c>
      <c r="W86" s="6">
        <f>IF('[1]GC-TCD'!BW89="","",'[1]GC-TCD'!BW89)</f>
        <v>57.312054290717199</v>
      </c>
      <c r="X86" s="6">
        <f>IF('[1]GC-TCD'!BX89="","",'[1]GC-TCD'!BX89)</f>
        <v>26.641492356143559</v>
      </c>
      <c r="Y86">
        <v>255.60400000000001</v>
      </c>
      <c r="Z86" s="6">
        <f>IF([1]SS!AB89="","",[1]SS!AB89)</f>
        <v>27500.000000000302</v>
      </c>
      <c r="AA86" s="6">
        <f>IF([1]SS!AG89="","",[1]SS!AG89)</f>
        <v>222.4999999999977</v>
      </c>
      <c r="AB86" s="6">
        <f>IF([1]流量!AF89="","",[1]流量!AF89)</f>
        <v>2.0900429414913755</v>
      </c>
      <c r="AC86" s="6">
        <f>IF([1]流量!AN89="","",[1]流量!AN89)</f>
        <v>1.1003508771963535</v>
      </c>
      <c r="AD86" s="4">
        <f>IF([1]氣體產量!AH89="","",[1]氣體產量!AH89)</f>
        <v>0.30558184286654688</v>
      </c>
      <c r="AE86" s="4">
        <f>IF([1]methane_yield!W89="","",[1]methane_yield!W89)</f>
        <v>9.4591474853287463E-2</v>
      </c>
      <c r="AF86" s="4">
        <f>IF([1]methane_yield!AA89="","",[1]methane_yield!AA89)</f>
        <v>9.6280608332515491E-2</v>
      </c>
    </row>
    <row r="87" spans="1:32">
      <c r="A87" s="1">
        <v>44921</v>
      </c>
      <c r="B87">
        <v>86</v>
      </c>
      <c r="C87" t="s">
        <v>113</v>
      </c>
      <c r="D87" s="6">
        <f>IF('[1]env-PLC'!S90="","",'[1]env-PLC'!S90)</f>
        <v>33.027999999999992</v>
      </c>
      <c r="E87" s="6">
        <f>IF('[1]env-PLC'!T90="","",'[1]env-PLC'!T90)</f>
        <v>6.3507999999999969</v>
      </c>
      <c r="F87" s="6">
        <f>IF('[1]env-PLC'!U90="","",'[1]env-PLC'!U90)</f>
        <v>-426.84</v>
      </c>
      <c r="G87" s="6">
        <f>IF('[1]env-PLC'!V90="","",'[1]env-PLC'!V90)</f>
        <v>51.9</v>
      </c>
      <c r="H87" s="6">
        <f>IF([1]鹼度!L90="","",[1]鹼度!L90)</f>
        <v>1532.9</v>
      </c>
      <c r="I87" s="6">
        <f>IF([1]HPLC!CH90="","",[1]HPLC!CH90)</f>
        <v>1.9528542339999997</v>
      </c>
      <c r="J87" s="6">
        <f>IF([1]HPLC!CI90="","",[1]HPLC!CI90)</f>
        <v>48.334916399999997</v>
      </c>
      <c r="K87" s="6">
        <f>IF([1]HPLC!CJ90="","",[1]HPLC!CJ90)</f>
        <v>247.00315287400002</v>
      </c>
      <c r="L87" s="6">
        <f>IF([1]HPLC!CK90="","",[1]HPLC!CK90)</f>
        <v>3.9581537459999998</v>
      </c>
      <c r="M87" s="6">
        <f>IF([1]HPLC!CL90="","",[1]HPLC!CL90)</f>
        <v>0</v>
      </c>
      <c r="N87" s="6">
        <f>IF([1]HPLC!CM90="","",[1]HPLC!CM90)</f>
        <v>1.1997377760000001</v>
      </c>
      <c r="O87" s="6">
        <f>IF([1]HPLC!CN90="","",[1]HPLC!CN90)</f>
        <v>435.02792525040002</v>
      </c>
      <c r="P87" s="6">
        <f>IF([1]HPLC!CO90="","",[1]HPLC!CO90)</f>
        <v>540</v>
      </c>
      <c r="Q87" s="6">
        <f>IF([1]HPLC!CP90="","",[1]HPLC!CP90)</f>
        <v>0.80560726898222224</v>
      </c>
      <c r="R87" s="6">
        <f>IF([1]HPLC!CQ90="","",[1]HPLC!CQ90)</f>
        <v>80.579110479892847</v>
      </c>
      <c r="S87" s="6">
        <f>IF([1]HPLC!CR90="","",[1]HPLC!CR90)</f>
        <v>75.892857142857139</v>
      </c>
      <c r="T87" s="5">
        <f>IF([1]氣體產量!AC90="","",[1]氣體產量!AC90)</f>
        <v>0.53318330419295801</v>
      </c>
      <c r="U87" s="3">
        <f>IF('[1]GC-TCD'!BU90="","",'[1]GC-TCD'!BU90)</f>
        <v>0</v>
      </c>
      <c r="V87" s="6">
        <f>IF('[1]GC-TCD'!BV90="","",'[1]GC-TCD'!BV90)</f>
        <v>17.579820171198229</v>
      </c>
      <c r="W87" s="6">
        <f>IF('[1]GC-TCD'!BW90="","",'[1]GC-TCD'!BW90)</f>
        <v>56.027609220251961</v>
      </c>
      <c r="X87" s="6">
        <f>IF('[1]GC-TCD'!BX90="","",'[1]GC-TCD'!BX90)</f>
        <v>26.392570608549796</v>
      </c>
      <c r="Y87">
        <v>217.86799999999999</v>
      </c>
      <c r="Z87" s="6">
        <f>IF([1]SS!AB90="","",[1]SS!AB90)</f>
        <v>27250.000000000327</v>
      </c>
      <c r="AA87" s="6">
        <f>IF([1]SS!AG90="","",[1]SS!AG90)</f>
        <v>262.49999999999886</v>
      </c>
      <c r="AB87" s="6">
        <f>IF([1]流量!AF90="","",[1]流量!AF90)</f>
        <v>2.0919615963778719</v>
      </c>
      <c r="AC87" s="6">
        <f>IF([1]流量!AN90="","",[1]流量!AN90)</f>
        <v>1.0752000000035764</v>
      </c>
      <c r="AD87" s="4">
        <f>IF([1]氣體產量!AH90="","",[1]氣體產量!AH90)</f>
        <v>0.29872985810085778</v>
      </c>
      <c r="AE87" s="4">
        <f>IF([1]methane_yield!W90="","",[1]methane_yield!W90)</f>
        <v>9.4573638254937697E-2</v>
      </c>
      <c r="AF87" s="4">
        <f>IF([1]methane_yield!AA90="","",[1]methane_yield!AA90)</f>
        <v>9.8514206515232419E-2</v>
      </c>
    </row>
    <row r="88" spans="1:32">
      <c r="A88" s="1">
        <v>44922</v>
      </c>
      <c r="B88">
        <v>87</v>
      </c>
      <c r="C88" t="s">
        <v>114</v>
      </c>
      <c r="D88" s="6">
        <f>IF('[1]env-PLC'!S91="","",'[1]env-PLC'!S91)</f>
        <v>32.934782608695649</v>
      </c>
      <c r="E88" s="6">
        <f>IF('[1]env-PLC'!T91="","",'[1]env-PLC'!T91)</f>
        <v>6.3508695652173888</v>
      </c>
      <c r="F88" s="6">
        <f>IF('[1]env-PLC'!U91="","",'[1]env-PLC'!U91)</f>
        <v>-420.69565217391306</v>
      </c>
      <c r="G88" s="6">
        <f>IF('[1]env-PLC'!V91="","",'[1]env-PLC'!V91)</f>
        <v>52</v>
      </c>
      <c r="H88" s="6">
        <f>IF([1]鹼度!L91="","",[1]鹼度!L91)</f>
        <v>1528.7</v>
      </c>
      <c r="I88" s="6">
        <f>IF([1]HPLC!CH91="","",[1]HPLC!CH91)</f>
        <v>0.84980851199999996</v>
      </c>
      <c r="J88" s="6">
        <f>IF([1]HPLC!CI91="","",[1]HPLC!CI91)</f>
        <v>45.470764319999994</v>
      </c>
      <c r="K88" s="6">
        <f>IF([1]HPLC!CJ91="","",[1]HPLC!CJ91)</f>
        <v>198.19941235600001</v>
      </c>
      <c r="L88" s="6">
        <f>IF([1]HPLC!CK91="","",[1]HPLC!CK91)</f>
        <v>3.41802757</v>
      </c>
      <c r="M88" s="6">
        <f>IF([1]HPLC!CL91="","",[1]HPLC!CL91)</f>
        <v>0</v>
      </c>
      <c r="N88" s="6">
        <f>IF([1]HPLC!CM91="","",[1]HPLC!CM91)</f>
        <v>0.20729340159999998</v>
      </c>
      <c r="O88" s="6">
        <f>IF([1]HPLC!CN91="","",[1]HPLC!CN91)</f>
        <v>354.87595217582401</v>
      </c>
      <c r="P88" s="6">
        <f>IF([1]HPLC!CO91="","",[1]HPLC!CO91)</f>
        <v>390</v>
      </c>
      <c r="Q88" s="6">
        <f>IF([1]HPLC!CP91="","",[1]HPLC!CP91)</f>
        <v>0.9099383389123693</v>
      </c>
      <c r="R88" s="6">
        <f>IF([1]HPLC!CQ91="","",[1]HPLC!CQ91)</f>
        <v>84.157323563579283</v>
      </c>
      <c r="S88" s="6">
        <f>IF([1]HPLC!CR91="","",[1]HPLC!CR91)</f>
        <v>82.589285714285708</v>
      </c>
      <c r="T88" s="5">
        <f>IF([1]氣體產量!AC91="","",[1]氣體產量!AC91)</f>
        <v>0.52194898067652407</v>
      </c>
      <c r="U88" s="3">
        <f>IF('[1]GC-TCD'!BU91="","",'[1]GC-TCD'!BU91)</f>
        <v>0</v>
      </c>
      <c r="V88" s="6">
        <f>IF('[1]GC-TCD'!BV91="","",'[1]GC-TCD'!BV91)</f>
        <v>20.578708661043215</v>
      </c>
      <c r="W88" s="6">
        <f>IF('[1]GC-TCD'!BW91="","",'[1]GC-TCD'!BW91)</f>
        <v>56.801971405092132</v>
      </c>
      <c r="X88" s="6">
        <f>IF('[1]GC-TCD'!BX91="","",'[1]GC-TCD'!BX91)</f>
        <v>22.619319933864645</v>
      </c>
      <c r="Y88">
        <v>289.66800000000001</v>
      </c>
      <c r="Z88" s="6">
        <f>IF([1]SS!AB91="","",[1]SS!AB91)</f>
        <v>34499.999999999534</v>
      </c>
      <c r="AA88" s="6">
        <f>IF([1]SS!AG91="","",[1]SS!AG91)</f>
        <v>224.00000000000199</v>
      </c>
      <c r="AB88" s="6">
        <f>IF([1]流量!AF91="","",[1]流量!AF91)</f>
        <v>2.0690581754573016</v>
      </c>
      <c r="AC88" s="6">
        <f>IF([1]流量!AN91="","",[1]流量!AN91)</f>
        <v>1.099967479673235</v>
      </c>
      <c r="AD88" s="4">
        <f>IF([1]氣體產量!AH91="","",[1]氣體產量!AH91)</f>
        <v>0.29647731075304906</v>
      </c>
      <c r="AE88" s="4">
        <f>IF([1]methane_yield!W91="","",[1]methane_yield!W91)</f>
        <v>8.9869738991521647E-2</v>
      </c>
      <c r="AF88" s="4">
        <f>IF([1]methane_yield!AA91="","",[1]methane_yield!AA91)</f>
        <v>9.1506439536199149E-2</v>
      </c>
    </row>
    <row r="89" spans="1:32">
      <c r="A89" s="1">
        <v>44923</v>
      </c>
      <c r="B89">
        <v>88</v>
      </c>
      <c r="C89" t="s">
        <v>115</v>
      </c>
      <c r="D89" s="6">
        <f>IF('[1]env-PLC'!S92="","",'[1]env-PLC'!S92)</f>
        <v>33.012499999999996</v>
      </c>
      <c r="E89" s="6">
        <f>IF('[1]env-PLC'!T92="","",'[1]env-PLC'!T92)</f>
        <v>6.3599999999999968</v>
      </c>
      <c r="F89" s="6">
        <f>IF('[1]env-PLC'!U92="","",'[1]env-PLC'!U92)</f>
        <v>-372.25</v>
      </c>
      <c r="G89" s="6">
        <f>IF('[1]env-PLC'!V92="","",'[1]env-PLC'!V92)</f>
        <v>53.3</v>
      </c>
      <c r="H89" s="6">
        <f>IF([1]鹼度!L92="","",[1]鹼度!L92)</f>
        <v>1511.95</v>
      </c>
      <c r="I89" s="6">
        <f>IF([1]HPLC!CH92="","",[1]HPLC!CH92)</f>
        <v>4.2666776110000004</v>
      </c>
      <c r="J89" s="6">
        <f>IF([1]HPLC!CI92="","",[1]HPLC!CI92)</f>
        <v>42.117558959999997</v>
      </c>
      <c r="K89" s="6">
        <f>IF([1]HPLC!CJ92="","",[1]HPLC!CJ92)</f>
        <v>228.697973488</v>
      </c>
      <c r="L89" s="6">
        <f>IF([1]HPLC!CK92="","",[1]HPLC!CK92)</f>
        <v>3.7997064979999999</v>
      </c>
      <c r="M89" s="6">
        <f>IF([1]HPLC!CL92="","",[1]HPLC!CL92)</f>
        <v>0</v>
      </c>
      <c r="N89" s="6">
        <f>IF([1]HPLC!CM92="","",[1]HPLC!CM92)</f>
        <v>0</v>
      </c>
      <c r="O89" s="6">
        <f>IF([1]HPLC!CN92="","",[1]HPLC!CN92)</f>
        <v>398.80853104428996</v>
      </c>
      <c r="P89" s="6">
        <f>IF([1]HPLC!CO92="","",[1]HPLC!CO92)</f>
        <v>560</v>
      </c>
      <c r="Q89" s="6">
        <f>IF([1]HPLC!CP92="","",[1]HPLC!CP92)</f>
        <v>0.71215809115051776</v>
      </c>
      <c r="R89" s="6">
        <f>IF([1]HPLC!CQ92="","",[1]HPLC!CQ92)</f>
        <v>82.196047721237051</v>
      </c>
      <c r="S89" s="6">
        <f>IF([1]HPLC!CR92="","",[1]HPLC!CR92)</f>
        <v>75</v>
      </c>
      <c r="T89" s="5">
        <f>IF([1]氣體產量!AC92="","",[1]氣體產量!AC92)</f>
        <v>0.38541316676590293</v>
      </c>
      <c r="U89" s="3">
        <f>IF('[1]GC-TCD'!BU92="","",'[1]GC-TCD'!BU92)</f>
        <v>0</v>
      </c>
      <c r="V89" s="6">
        <f>IF('[1]GC-TCD'!BV92="","",'[1]GC-TCD'!BV92)</f>
        <v>24.497295341656443</v>
      </c>
      <c r="W89" s="6">
        <f>IF('[1]GC-TCD'!BW92="","",'[1]GC-TCD'!BW92)</f>
        <v>54.240050827152629</v>
      </c>
      <c r="X89" s="6">
        <f>IF('[1]GC-TCD'!BX92="","",'[1]GC-TCD'!BX92)</f>
        <v>21.262653831190935</v>
      </c>
      <c r="Y89">
        <v>268.50099999999998</v>
      </c>
      <c r="Z89" s="6">
        <f>IF([1]SS!AB92="","",[1]SS!AB92)</f>
        <v>31750.000000000386</v>
      </c>
      <c r="AA89" s="6">
        <f>IF([1]SS!AG92="","",[1]SS!AG92)</f>
        <v>240.00000000000023</v>
      </c>
      <c r="AB89" s="6">
        <f>IF([1]流量!AF92="","",[1]流量!AF92)</f>
        <v>2.0901818978764379</v>
      </c>
      <c r="AC89" s="6">
        <f>IF([1]流量!AN92="","",[1]流量!AN92)</f>
        <v>1.0968275862063463</v>
      </c>
      <c r="AD89" s="4">
        <f>IF([1]氣體產量!AH92="","",[1]氣體產量!AH92)</f>
        <v>0.20904829754836426</v>
      </c>
      <c r="AE89" s="4">
        <f>IF([1]methane_yield!W92="","",[1]methane_yield!W92)</f>
        <v>6.4879819422251642E-2</v>
      </c>
      <c r="AF89" s="4">
        <f>IF([1]methane_yield!AA92="","",[1]methane_yield!AA92)</f>
        <v>6.6250519832614138E-2</v>
      </c>
    </row>
    <row r="90" spans="1:32">
      <c r="A90" s="1">
        <v>44924</v>
      </c>
      <c r="B90">
        <v>89</v>
      </c>
      <c r="C90" t="s">
        <v>116</v>
      </c>
      <c r="D90" s="6">
        <f>IF('[1]env-PLC'!S93="","",'[1]env-PLC'!S93)</f>
        <v>32.969565217391306</v>
      </c>
      <c r="E90" s="6">
        <f>IF('[1]env-PLC'!T93="","",'[1]env-PLC'!T93)</f>
        <v>6.3482608695652161</v>
      </c>
      <c r="F90" s="6">
        <f>IF('[1]env-PLC'!U93="","",'[1]env-PLC'!U93)</f>
        <v>-414.60869565217394</v>
      </c>
      <c r="G90" s="6">
        <f>IF('[1]env-PLC'!V93="","",'[1]env-PLC'!V93)</f>
        <v>53.2</v>
      </c>
      <c r="H90" s="6">
        <f>IF([1]鹼度!L93="","",[1]鹼度!L93)</f>
        <v>1547.9499999999998</v>
      </c>
      <c r="I90" s="6">
        <f>IF([1]HPLC!CH93="","",[1]HPLC!CH93)</f>
        <v>0.75081736600000004</v>
      </c>
      <c r="J90" s="6">
        <f>IF([1]HPLC!CI93="","",[1]HPLC!CI93)</f>
        <v>46.486205999999996</v>
      </c>
      <c r="K90" s="6">
        <f>IF([1]HPLC!CJ93="","",[1]HPLC!CJ93)</f>
        <v>241.44046291000004</v>
      </c>
      <c r="L90" s="6">
        <f>IF([1]HPLC!CK93="","",[1]HPLC!CK93)</f>
        <v>3.9872314439999998</v>
      </c>
      <c r="M90" s="6">
        <f>IF([1]HPLC!CL93="","",[1]HPLC!CL93)</f>
        <v>0</v>
      </c>
      <c r="N90" s="6">
        <f>IF([1]HPLC!CM93="","",[1]HPLC!CM93)</f>
        <v>0.52529607519999999</v>
      </c>
      <c r="O90" s="6">
        <f>IF([1]HPLC!CN93="","",[1]HPLC!CN93)</f>
        <v>422.90649071368807</v>
      </c>
      <c r="P90" s="6">
        <f>IF([1]HPLC!CO93="","",[1]HPLC!CO93)</f>
        <v>720</v>
      </c>
      <c r="Q90" s="6">
        <f>IF([1]HPLC!CP93="","",[1]HPLC!CP93)</f>
        <v>0.58737012599123339</v>
      </c>
      <c r="R90" s="6">
        <f>IF([1]HPLC!CQ93="","",[1]HPLC!CQ93)</f>
        <v>81.12024595028177</v>
      </c>
      <c r="S90" s="6">
        <f>IF([1]HPLC!CR93="","",[1]HPLC!CR93)</f>
        <v>67.857142857142861</v>
      </c>
      <c r="T90" s="5">
        <f>IF([1]氣體產量!AC93="","",[1]氣體產量!AC93)</f>
        <v>0.40963362847545365</v>
      </c>
      <c r="U90" s="3">
        <f>IF('[1]GC-TCD'!BU93="","",'[1]GC-TCD'!BU93)</f>
        <v>0</v>
      </c>
      <c r="V90" s="6">
        <f>IF('[1]GC-TCD'!BV93="","",'[1]GC-TCD'!BV93)</f>
        <v>20.527805390650457</v>
      </c>
      <c r="W90" s="6">
        <f>IF('[1]GC-TCD'!BW93="","",'[1]GC-TCD'!BW93)</f>
        <v>55.270783648118169</v>
      </c>
      <c r="X90" s="6">
        <f>IF('[1]GC-TCD'!BX93="","",'[1]GC-TCD'!BX93)</f>
        <v>24.201410961231382</v>
      </c>
      <c r="Y90">
        <v>291.108</v>
      </c>
      <c r="Z90" s="6">
        <f>IF([1]SS!AB93="","",[1]SS!AB93)</f>
        <v>29000.000000000135</v>
      </c>
      <c r="AA90" s="6">
        <f>IF([1]SS!AG93="","",[1]SS!AG93)</f>
        <v>235.99999999999622</v>
      </c>
      <c r="AB90" s="6">
        <f>IF([1]流量!AF93="","",[1]流量!AF93)</f>
        <v>2.1514486974877904</v>
      </c>
      <c r="AC90" s="6">
        <f>IF([1]流量!AN93="","",[1]流量!AN93)</f>
        <v>1.1013210768234087</v>
      </c>
      <c r="AD90" s="4">
        <f>IF([1]氣體產量!AH93="","",[1]氣體產量!AH93)</f>
        <v>0.22640771654460415</v>
      </c>
      <c r="AE90" s="4">
        <f>IF([1]methane_yield!W93="","",[1]methane_yield!W93)</f>
        <v>7.1199328688539648E-2</v>
      </c>
      <c r="AF90" s="4">
        <f>IF([1]methane_yield!AA93="","",[1]methane_yield!AA93)</f>
        <v>7.2406902772778628E-2</v>
      </c>
    </row>
    <row r="91" spans="1:32">
      <c r="A91" s="1">
        <v>44925</v>
      </c>
      <c r="B91">
        <v>90</v>
      </c>
      <c r="C91" t="s">
        <v>117</v>
      </c>
      <c r="D91" s="6">
        <f>IF('[1]env-PLC'!S94="","",'[1]env-PLC'!S94)</f>
        <v>32.954545454545446</v>
      </c>
      <c r="E91" s="6">
        <f>IF('[1]env-PLC'!T94="","",'[1]env-PLC'!T94)</f>
        <v>6.3499999999999979</v>
      </c>
      <c r="F91" s="6">
        <f>IF('[1]env-PLC'!U94="","",'[1]env-PLC'!U94)</f>
        <v>-418</v>
      </c>
      <c r="G91" s="6">
        <f>IF('[1]env-PLC'!V94="","",'[1]env-PLC'!V94)</f>
        <v>54</v>
      </c>
      <c r="H91" s="6">
        <f>IF([1]鹼度!L94="","",[1]鹼度!L94)</f>
        <v>1486.4</v>
      </c>
      <c r="I91" s="6">
        <f>IF([1]HPLC!CH94="","",[1]HPLC!CH94)</f>
        <v>1.9438521299999998</v>
      </c>
      <c r="J91" s="6">
        <f>IF([1]HPLC!CI94="","",[1]HPLC!CI94)</f>
        <v>43.744422359999994</v>
      </c>
      <c r="K91" s="6">
        <f>IF([1]HPLC!CJ94="","",[1]HPLC!CJ94)</f>
        <v>328.01251919500004</v>
      </c>
      <c r="L91" s="6">
        <f>IF([1]HPLC!CK94="","",[1]HPLC!CK94)</f>
        <v>5.3310802519999996</v>
      </c>
      <c r="M91" s="6">
        <f>IF([1]HPLC!CL94="","",[1]HPLC!CL94)</f>
        <v>0</v>
      </c>
      <c r="N91" s="6">
        <f>IF([1]HPLC!CM94="","",[1]HPLC!CM94)</f>
        <v>1.1811535599999998</v>
      </c>
      <c r="O91" s="6">
        <f>IF([1]HPLC!CN94="","",[1]HPLC!CN94)</f>
        <v>554.89790347618998</v>
      </c>
      <c r="P91" s="6">
        <f>IF([1]HPLC!CO94="","",[1]HPLC!CO94)</f>
        <v>520</v>
      </c>
      <c r="Q91" s="6">
        <f>IF([1]HPLC!CP94="","",[1]HPLC!CP94)</f>
        <v>1.067111352838827</v>
      </c>
      <c r="R91" s="6">
        <f>IF([1]HPLC!CQ94="","",[1]HPLC!CQ94)</f>
        <v>75.227772166241508</v>
      </c>
      <c r="S91" s="6">
        <f>IF([1]HPLC!CR94="","",[1]HPLC!CR94)</f>
        <v>76.785714285714292</v>
      </c>
      <c r="T91" s="5">
        <f>IF([1]氣體產量!AC94="","",[1]氣體產量!AC94)</f>
        <v>0.41970287408178508</v>
      </c>
      <c r="U91" s="3">
        <f>IF('[1]GC-TCD'!BU94="","",'[1]GC-TCD'!BU94)</f>
        <v>0</v>
      </c>
      <c r="V91" s="6">
        <f>IF('[1]GC-TCD'!BV94="","",'[1]GC-TCD'!BV94)</f>
        <v>19.673654041062008</v>
      </c>
      <c r="W91" s="6">
        <f>IF('[1]GC-TCD'!BW94="","",'[1]GC-TCD'!BW94)</f>
        <v>56.585334781757538</v>
      </c>
      <c r="X91" s="6">
        <f>IF('[1]GC-TCD'!BX94="","",'[1]GC-TCD'!BX94)</f>
        <v>23.741011177180468</v>
      </c>
      <c r="Y91">
        <v>289.52999999999997</v>
      </c>
      <c r="Z91" s="6">
        <f>IF([1]SS!AB94="","",[1]SS!AB94)</f>
        <v>33999.999999999578</v>
      </c>
      <c r="AA91" s="6">
        <f>IF([1]SS!AG94="","",[1]SS!AG94)</f>
        <v>255.99999999999847</v>
      </c>
      <c r="AB91" s="6">
        <f>IF([1]流量!AF94="","",[1]流量!AF94)</f>
        <v>2.154223378690729</v>
      </c>
      <c r="AC91" s="6">
        <f>IF([1]流量!AN94="","",[1]流量!AN94)</f>
        <v>1.0871025830211605</v>
      </c>
      <c r="AD91" s="4">
        <f>IF([1]氣體產量!AH94="","",[1]氣體產量!AH94)</f>
        <v>0.23749027638783637</v>
      </c>
      <c r="AE91" s="4">
        <f>IF([1]methane_yield!W94="","",[1]methane_yield!W94)</f>
        <v>8.0534425566516646E-2</v>
      </c>
      <c r="AF91" s="4">
        <f>IF([1]methane_yield!AA94="","",[1]methane_yield!AA94)</f>
        <v>8.2971522690920632E-2</v>
      </c>
    </row>
    <row r="92" spans="1:32">
      <c r="A92" s="1">
        <v>44926</v>
      </c>
      <c r="B92">
        <v>91</v>
      </c>
      <c r="C92" t="s">
        <v>118</v>
      </c>
      <c r="D92" s="6">
        <f>IF('[1]env-PLC'!S95="","",'[1]env-PLC'!S95)</f>
        <v>33.086959999999998</v>
      </c>
      <c r="E92" s="6">
        <f>IF('[1]env-PLC'!T95="","",'[1]env-PLC'!T95)</f>
        <v>6.3530430000000004</v>
      </c>
      <c r="F92" s="6">
        <f>IF('[1]env-PLC'!U95="","",'[1]env-PLC'!U95)</f>
        <v>-399.52199999999999</v>
      </c>
      <c r="G92" s="6">
        <f>IF('[1]env-PLC'!V95="","",'[1]env-PLC'!V95)</f>
        <v>53.4</v>
      </c>
      <c r="H92" s="6">
        <f>IF([1]鹼度!L95="","",[1]鹼度!L95)</f>
        <v>1485.6</v>
      </c>
      <c r="I92" s="6">
        <f>IF([1]HPLC!CH95="","",[1]HPLC!CH95)</f>
        <v>4.4364430000000006</v>
      </c>
      <c r="J92" s="6">
        <f>IF([1]HPLC!CI95="","",[1]HPLC!CI95)</f>
        <v>45.61294788</v>
      </c>
      <c r="K92" s="6">
        <f>IF([1]HPLC!CJ95="","",[1]HPLC!CJ95)</f>
        <v>324.39682920800004</v>
      </c>
      <c r="L92" s="6">
        <f>IF([1]HPLC!CK95="","",[1]HPLC!CK95)</f>
        <v>4.3228171639999999</v>
      </c>
      <c r="M92" s="6">
        <f>IF([1]HPLC!CL95="","",[1]HPLC!CL95)</f>
        <v>0.84149423999999973</v>
      </c>
      <c r="N92" s="6">
        <f>IF([1]HPLC!CM95="","",[1]HPLC!CM95)</f>
        <v>0</v>
      </c>
      <c r="O92" s="6">
        <f>IF([1]HPLC!CN95="","",[1]HPLC!CN95)</f>
        <v>549.59686814096005</v>
      </c>
      <c r="P92" s="6">
        <f>IF([1]HPLC!CO95="","",[1]HPLC!CO95)</f>
        <v>620</v>
      </c>
      <c r="Q92" s="6">
        <f>IF([1]HPLC!CP95="","",[1]HPLC!CP95)</f>
        <v>0.88644656151767753</v>
      </c>
      <c r="R92" s="6">
        <f>IF([1]HPLC!CQ95="","",[1]HPLC!CQ95)</f>
        <v>75.464425529421433</v>
      </c>
      <c r="S92" s="6">
        <f>IF([1]HPLC!CR95="","",[1]HPLC!CR95)</f>
        <v>72.321428571428569</v>
      </c>
      <c r="T92" s="5">
        <f>IF([1]氣體產量!AC95="","",[1]氣體產量!AC95)</f>
        <v>0.41097339819112833</v>
      </c>
      <c r="U92" s="3">
        <f>IF('[1]GC-TCD'!BU95="","",'[1]GC-TCD'!BU95)</f>
        <v>0</v>
      </c>
      <c r="V92" s="6">
        <f>IF('[1]GC-TCD'!BV95="","",'[1]GC-TCD'!BV95)</f>
        <v>23.190160156880079</v>
      </c>
      <c r="W92" s="6">
        <f>IF('[1]GC-TCD'!BW95="","",'[1]GC-TCD'!BW95)</f>
        <v>53.770665611993962</v>
      </c>
      <c r="X92" s="6">
        <f>IF('[1]GC-TCD'!BX95="","",'[1]GC-TCD'!BX95)</f>
        <v>23.039174231125966</v>
      </c>
      <c r="Y92">
        <v>272.66199999999998</v>
      </c>
      <c r="Z92" s="6">
        <f>IF([1]SS!AB95="","",[1]SS!AB95)</f>
        <v>6499.999999999839</v>
      </c>
      <c r="AA92" s="6">
        <f>IF([1]SS!AG95="","",[1]SS!AG95)</f>
        <v>280.00000000000023</v>
      </c>
      <c r="AB92" s="6">
        <f>IF([1]流量!AF95="","",[1]流量!AF95)</f>
        <v>2.2743055555515137</v>
      </c>
      <c r="AC92" s="6">
        <f>IF([1]流量!AN95="","",[1]流量!AN95)</f>
        <v>1.1226987951822975</v>
      </c>
      <c r="AD92" s="4">
        <f>IF([1]氣體產量!AH95="","",[1]氣體產量!AH95)</f>
        <v>0.22098313169560005</v>
      </c>
      <c r="AE92" s="4">
        <f>IF([1]methane_yield!W95="","",[1]methane_yield!W95)</f>
        <v>7.4701751833454677E-2</v>
      </c>
      <c r="AF92" s="4">
        <f>IF([1]methane_yield!AA95="","",[1]methane_yield!AA95)</f>
        <v>7.4522180314519751E-2</v>
      </c>
    </row>
    <row r="93" spans="1:32">
      <c r="A93" s="1">
        <v>44927</v>
      </c>
      <c r="B93">
        <v>92</v>
      </c>
      <c r="C93" t="s">
        <v>119</v>
      </c>
      <c r="D93" s="6">
        <f>IF('[1]env-PLC'!S96="","",'[1]env-PLC'!S96)</f>
        <v>33.357140000000001</v>
      </c>
      <c r="E93" s="6">
        <f>IF('[1]env-PLC'!T96="","",'[1]env-PLC'!T96)</f>
        <v>6.3352380000000004</v>
      </c>
      <c r="F93" s="6">
        <f>IF('[1]env-PLC'!U96="","",'[1]env-PLC'!U96)</f>
        <v>-413.57100000000003</v>
      </c>
      <c r="G93" s="6">
        <f>IF('[1]env-PLC'!V96="","",'[1]env-PLC'!V96)</f>
        <v>55.1</v>
      </c>
      <c r="H93" s="6">
        <f>IF([1]鹼度!L96="","",[1]鹼度!L96)</f>
        <v>1476.55</v>
      </c>
      <c r="I93" s="6">
        <f>IF([1]HPLC!CH96="","",[1]HPLC!CH96)</f>
        <v>3.7881261889999998</v>
      </c>
      <c r="J93" s="6">
        <f>IF([1]HPLC!CI96="","",[1]HPLC!CI96)</f>
        <v>46.040891399999992</v>
      </c>
      <c r="K93" s="6">
        <f>IF([1]HPLC!CJ96="","",[1]HPLC!CJ96)</f>
        <v>233.73208197000002</v>
      </c>
      <c r="L93" s="6">
        <f>IF([1]HPLC!CK96="","",[1]HPLC!CK96)</f>
        <v>4.9962548780000002</v>
      </c>
      <c r="M93" s="6">
        <f>IF([1]HPLC!CL96="","",[1]HPLC!CL96)</f>
        <v>0</v>
      </c>
      <c r="N93" s="6">
        <f>IF([1]HPLC!CM96="","",[1]HPLC!CM96)</f>
        <v>0</v>
      </c>
      <c r="O93" s="6">
        <f>IF([1]HPLC!CN96="","",[1]HPLC!CN96)</f>
        <v>412.61822561681004</v>
      </c>
      <c r="P93" s="6">
        <f>IF([1]HPLC!CO96="","",[1]HPLC!CO96)</f>
        <v>740</v>
      </c>
      <c r="Q93" s="6">
        <f>IF([1]HPLC!CP96="","",[1]HPLC!CP96)</f>
        <v>0.55759219677947303</v>
      </c>
      <c r="R93" s="6">
        <f>IF([1]HPLC!CQ96="","",[1]HPLC!CQ96)</f>
        <v>81.579543499249553</v>
      </c>
      <c r="S93" s="6">
        <f>IF([1]HPLC!CR96="","",[1]HPLC!CR96)</f>
        <v>66.964285714285708</v>
      </c>
      <c r="T93" s="5">
        <f>IF([1]氣體產量!AC96="","",[1]氣體產量!AC96)</f>
        <v>0.4272872727271898</v>
      </c>
      <c r="U93" s="3">
        <f>IF('[1]GC-TCD'!BU96="","",'[1]GC-TCD'!BU96)</f>
        <v>0</v>
      </c>
      <c r="V93" s="6">
        <f>IF('[1]GC-TCD'!BV96="","",'[1]GC-TCD'!BV96)</f>
        <v>22.34582372622841</v>
      </c>
      <c r="W93" s="6">
        <f>IF('[1]GC-TCD'!BW96="","",'[1]GC-TCD'!BW96)</f>
        <v>53.951380486888326</v>
      </c>
      <c r="X93" s="6">
        <f>IF('[1]GC-TCD'!BX96="","",'[1]GC-TCD'!BX96)</f>
        <v>23.702795786883268</v>
      </c>
      <c r="Y93">
        <v>231.864</v>
      </c>
      <c r="Z93" s="6">
        <f>IF([1]SS!AB96="","",[1]SS!AB96)</f>
        <v>6500.0000000003947</v>
      </c>
      <c r="AA93" s="6">
        <f>IF([1]SS!AG96="","",[1]SS!AG96)</f>
        <v>238.00000000000043</v>
      </c>
      <c r="AB93" s="6">
        <f>IF([1]流量!AF96="","",[1]流量!AF96)</f>
        <v>2.1164950062535519</v>
      </c>
      <c r="AC93" s="6">
        <f>IF([1]流量!AN96="","",[1]流量!AN96)</f>
        <v>1.1201703422043314</v>
      </c>
      <c r="AD93" s="4">
        <f>IF([1]氣體產量!AH96="","",[1]氣體產量!AH96)</f>
        <v>0.23052738228109437</v>
      </c>
      <c r="AE93" s="4">
        <f>IF([1]methane_yield!W96="","",[1]methane_yield!W96)</f>
        <v>7.2086706006749865E-2</v>
      </c>
      <c r="AF93" s="4">
        <f>IF([1]methane_yield!AA96="","",[1]methane_yield!AA96)</f>
        <v>7.2075743916484178E-2</v>
      </c>
    </row>
    <row r="94" spans="1:32">
      <c r="A94" s="1">
        <v>44928</v>
      </c>
      <c r="B94">
        <v>93</v>
      </c>
      <c r="C94" t="s">
        <v>120</v>
      </c>
      <c r="D94" s="6">
        <f>IF('[1]env-PLC'!S97="","",'[1]env-PLC'!S97)</f>
        <v>33.061540000000001</v>
      </c>
      <c r="E94" s="6">
        <f>IF('[1]env-PLC'!T97="","",'[1]env-PLC'!T97)</f>
        <v>6.32</v>
      </c>
      <c r="F94" s="6">
        <f>IF('[1]env-PLC'!U97="","",'[1]env-PLC'!U97)</f>
        <v>-420.61500000000001</v>
      </c>
      <c r="G94" s="6">
        <f>IF('[1]env-PLC'!V97="","",'[1]env-PLC'!V97)</f>
        <v>55</v>
      </c>
      <c r="H94" s="6">
        <f>IF([1]鹼度!L97="","",[1]鹼度!L97)</f>
        <v>1456.5</v>
      </c>
      <c r="I94" s="6">
        <f>IF([1]HPLC!CH97="","",[1]HPLC!CH97)</f>
        <v>3.6299814069999998</v>
      </c>
      <c r="J94" s="6">
        <f>IF([1]HPLC!CI97="","",[1]HPLC!CI97)</f>
        <v>50.395014359999998</v>
      </c>
      <c r="K94" s="6">
        <f>IF([1]HPLC!CJ97="","",[1]HPLC!CJ97)</f>
        <v>332.99245168499999</v>
      </c>
      <c r="L94" s="6">
        <f>IF([1]HPLC!CK97="","",[1]HPLC!CK97)</f>
        <v>4.4666701980000001</v>
      </c>
      <c r="M94" s="6">
        <f>IF([1]HPLC!CL97="","",[1]HPLC!CL97)</f>
        <v>0</v>
      </c>
      <c r="N94" s="6">
        <f>IF([1]HPLC!CM97="","",[1]HPLC!CM97)</f>
        <v>3.6968536240000001</v>
      </c>
      <c r="O94" s="6">
        <f>IF([1]HPLC!CN97="","",[1]HPLC!CN97)</f>
        <v>573.68268205532002</v>
      </c>
      <c r="P94" s="6">
        <f>IF([1]HPLC!CO97="","",[1]HPLC!CO97)</f>
        <v>720</v>
      </c>
      <c r="Q94" s="6">
        <f>IF([1]HPLC!CP97="","",[1]HPLC!CP97)</f>
        <v>0.79678150285461113</v>
      </c>
      <c r="R94" s="6">
        <f>IF([1]HPLC!CQ97="","",[1]HPLC!CQ97)</f>
        <v>74.389165979673209</v>
      </c>
      <c r="S94" s="6">
        <f>IF([1]HPLC!CR97="","",[1]HPLC!CR97)</f>
        <v>67.857142857142861</v>
      </c>
      <c r="T94" s="5">
        <f>IF([1]氣體產量!AC97="","",[1]氣體產量!AC97)</f>
        <v>0.42772322881814984</v>
      </c>
      <c r="U94" s="3">
        <f>IF('[1]GC-TCD'!BU97="","",'[1]GC-TCD'!BU97)</f>
        <v>0.56289245365012996</v>
      </c>
      <c r="V94" s="6">
        <f>IF('[1]GC-TCD'!BV97="","",'[1]GC-TCD'!BV97)</f>
        <v>22.939908773804461</v>
      </c>
      <c r="W94" s="6">
        <f>IF('[1]GC-TCD'!BW97="","",'[1]GC-TCD'!BW97)</f>
        <v>53.38900034144126</v>
      </c>
      <c r="X94" s="6">
        <f>IF('[1]GC-TCD'!BX97="","",'[1]GC-TCD'!BX97)</f>
        <v>23.108198431104153</v>
      </c>
      <c r="Y94">
        <v>283.56700000000001</v>
      </c>
      <c r="Z94" s="6">
        <f>IF([1]SS!AB97="","",[1]SS!AB97)</f>
        <v>6999.9999999997844</v>
      </c>
      <c r="AA94" s="6">
        <f>IF([1]SS!AG97="","",[1]SS!AG97)</f>
        <v>251.99999999999889</v>
      </c>
      <c r="AB94" s="6">
        <f>IF([1]流量!AF97="","",[1]流量!AF97)</f>
        <v>2.1374772025874424</v>
      </c>
      <c r="AC94" s="6">
        <f>IF([1]流量!AN97="","",[1]流量!AN97)</f>
        <v>1.0683949367120096</v>
      </c>
      <c r="AD94" s="4">
        <f>IF([1]氣體產量!AH97="","",[1]氣體產量!AH97)</f>
        <v>0.22835715609414561</v>
      </c>
      <c r="AE94" s="4">
        <f>IF([1]methane_yield!W97="","",[1]methane_yield!W97)</f>
        <v>7.8310296650653338E-2</v>
      </c>
      <c r="AF94" s="4">
        <f>IF([1]methane_yield!AA97="","",[1]methane_yield!AA97)</f>
        <v>8.209280036336758E-2</v>
      </c>
    </row>
    <row r="95" spans="1:32">
      <c r="A95" s="1">
        <v>44929</v>
      </c>
      <c r="B95">
        <v>94</v>
      </c>
      <c r="C95" t="s">
        <v>121</v>
      </c>
      <c r="D95" s="6">
        <f>IF('[1]env-PLC'!S98="","",'[1]env-PLC'!S98)</f>
        <v>32.900000000000006</v>
      </c>
      <c r="E95" s="6">
        <f>IF('[1]env-PLC'!T98="","",'[1]env-PLC'!T98)</f>
        <v>6.3191666666666633</v>
      </c>
      <c r="F95" s="6">
        <f>IF('[1]env-PLC'!U98="","",'[1]env-PLC'!U98)</f>
        <v>-423.08333333333331</v>
      </c>
      <c r="G95" s="6">
        <f>IF('[1]env-PLC'!V98="","",'[1]env-PLC'!V98)</f>
        <v>55.5</v>
      </c>
      <c r="H95" s="6">
        <f>IF([1]鹼度!L98="","",[1]鹼度!L98)</f>
        <v>1432.1999999999998</v>
      </c>
      <c r="I95" s="6">
        <f>IF([1]HPLC!CH98="","",[1]HPLC!CH98)</f>
        <v>0</v>
      </c>
      <c r="J95" s="6">
        <f>IF([1]HPLC!CI98="","",[1]HPLC!CI98)</f>
        <v>46.858251959999997</v>
      </c>
      <c r="K95" s="6">
        <f>IF([1]HPLC!CJ98="","",[1]HPLC!CJ98)</f>
        <v>329.76789262</v>
      </c>
      <c r="L95" s="6">
        <f>IF([1]HPLC!CK98="","",[1]HPLC!CK98)</f>
        <v>4.5147048719999994</v>
      </c>
      <c r="M95" s="6">
        <f>IF([1]HPLC!CL98="","",[1]HPLC!CL98)</f>
        <v>0</v>
      </c>
      <c r="N95" s="6">
        <f>IF([1]HPLC!CM98="","",[1]HPLC!CM98)</f>
        <v>1.354703872</v>
      </c>
      <c r="O95" s="6">
        <f>IF([1]HPLC!CN98="","",[1]HPLC!CN98)</f>
        <v>559.0682062193199</v>
      </c>
      <c r="P95" s="6">
        <f>IF([1]HPLC!CO98="","",[1]HPLC!CO98)</f>
        <v>620</v>
      </c>
      <c r="Q95" s="6">
        <f>IF([1]HPLC!CP98="","",[1]HPLC!CP98)</f>
        <v>0.90172291325696763</v>
      </c>
      <c r="R95" s="6">
        <f>IF([1]HPLC!CQ98="","",[1]HPLC!CQ98)</f>
        <v>75.041597936637487</v>
      </c>
      <c r="S95" s="6">
        <f>IF([1]HPLC!CR98="","",[1]HPLC!CR98)</f>
        <v>72.321428571428569</v>
      </c>
      <c r="T95" s="5">
        <f>IF([1]氣體產量!AC98="","",[1]氣體產量!AC98)</f>
        <v>0.44854094961882174</v>
      </c>
      <c r="U95" s="3">
        <f>IF('[1]GC-TCD'!BU98="","",'[1]GC-TCD'!BU98)</f>
        <v>0</v>
      </c>
      <c r="V95" s="6">
        <f>IF('[1]GC-TCD'!BV98="","",'[1]GC-TCD'!BV98)</f>
        <v>21.441622780500659</v>
      </c>
      <c r="W95" s="6">
        <f>IF('[1]GC-TCD'!BW98="","",'[1]GC-TCD'!BW98)</f>
        <v>54.763734227509119</v>
      </c>
      <c r="X95" s="6">
        <f>IF('[1]GC-TCD'!BX98="","",'[1]GC-TCD'!BX98)</f>
        <v>23.794642991990226</v>
      </c>
      <c r="Y95">
        <v>331.65100000000001</v>
      </c>
      <c r="Z95" s="6">
        <f>IF([1]SS!AB98="","",[1]SS!AB98)</f>
        <v>34250.000000000116</v>
      </c>
      <c r="AA95" s="6">
        <f>IF([1]SS!AG98="","",[1]SS!AG98)</f>
        <v>269.99999999999693</v>
      </c>
      <c r="AB95" s="6">
        <f>IF([1]流量!AF98="","",[1]流量!AF98)</f>
        <v>2.1077777777827578</v>
      </c>
      <c r="AC95" s="6">
        <f>IF([1]流量!AN98="","",[1]流量!AN98)</f>
        <v>1.030367227503205</v>
      </c>
      <c r="AD95" s="4">
        <f>IF([1]氣體產量!AH98="","",[1]氣體產量!AH98)</f>
        <v>0.24563777355079711</v>
      </c>
      <c r="AE95" s="4">
        <f>IF([1]methane_yield!W98="","",[1]methane_yield!W98)</f>
        <v>8.3503948553037499E-2</v>
      </c>
      <c r="AF95" s="4">
        <f>IF([1]methane_yield!AA98="","",[1]methane_yield!AA98)</f>
        <v>9.0768048403510673E-2</v>
      </c>
    </row>
    <row r="96" spans="1:32">
      <c r="A96" s="1">
        <v>44930</v>
      </c>
      <c r="B96">
        <v>95</v>
      </c>
      <c r="C96" t="s">
        <v>122</v>
      </c>
      <c r="D96" s="6">
        <f>IF('[1]env-PLC'!S99="","",'[1]env-PLC'!S99)</f>
        <v>32.795652173913048</v>
      </c>
      <c r="E96" s="6">
        <f>IF('[1]env-PLC'!T99="","",'[1]env-PLC'!T99)</f>
        <v>6.3400000000000025</v>
      </c>
      <c r="F96" s="6">
        <f>IF('[1]env-PLC'!U99="","",'[1]env-PLC'!U99)</f>
        <v>-422.82608695652175</v>
      </c>
      <c r="G96" s="6">
        <f>IF('[1]env-PLC'!V99="","",'[1]env-PLC'!V99)</f>
        <v>55.7</v>
      </c>
      <c r="H96" s="6">
        <f>IF([1]鹼度!L99="","",[1]鹼度!L99)</f>
        <v>1442.65</v>
      </c>
      <c r="I96" s="6">
        <f>IF([1]HPLC!CH99="","",[1]HPLC!CH99)</f>
        <v>0</v>
      </c>
      <c r="J96" s="6">
        <f>IF([1]HPLC!CI99="","",[1]HPLC!CI99)</f>
        <v>39.872099399999996</v>
      </c>
      <c r="K96" s="6">
        <f>IF([1]HPLC!CJ99="","",[1]HPLC!CJ99)</f>
        <v>348.55532789700004</v>
      </c>
      <c r="L96" s="6">
        <f>IF([1]HPLC!CK99="","",[1]HPLC!CK99)</f>
        <v>4.6812501740000005</v>
      </c>
      <c r="M96" s="6">
        <f>IF([1]HPLC!CL99="","",[1]HPLC!CL99)</f>
        <v>0</v>
      </c>
      <c r="N96" s="6">
        <f>IF([1]HPLC!CM99="","",[1]HPLC!CM99)</f>
        <v>1.42562056</v>
      </c>
      <c r="O96" s="6">
        <f>IF([1]HPLC!CN99="","",[1]HPLC!CN99)</f>
        <v>580.40983274155008</v>
      </c>
      <c r="P96" s="6">
        <f>IF([1]HPLC!CO99="","",[1]HPLC!CO99)</f>
        <v>590</v>
      </c>
      <c r="Q96" s="6">
        <f>IF([1]HPLC!CP99="","",[1]HPLC!CP99)</f>
        <v>0.98374547922296618</v>
      </c>
      <c r="R96" s="6">
        <f>IF([1]HPLC!CQ99="","",[1]HPLC!CQ99)</f>
        <v>74.088846752609371</v>
      </c>
      <c r="S96" s="6">
        <f>IF([1]HPLC!CR99="","",[1]HPLC!CR99)</f>
        <v>73.660714285714292</v>
      </c>
      <c r="T96" s="5">
        <f>IF([1]氣體產量!AC99="","",[1]氣體產量!AC99)</f>
        <v>0.32267815235406577</v>
      </c>
      <c r="U96" s="3">
        <f>IF('[1]GC-TCD'!BU99="","",'[1]GC-TCD'!BU99)</f>
        <v>0</v>
      </c>
      <c r="V96" s="6">
        <f>IF('[1]GC-TCD'!BV99="","",'[1]GC-TCD'!BV99)</f>
        <v>21.767122785258376</v>
      </c>
      <c r="W96" s="6">
        <f>IF('[1]GC-TCD'!BW99="","",'[1]GC-TCD'!BW99)</f>
        <v>53.903825152108709</v>
      </c>
      <c r="X96" s="6">
        <f>IF('[1]GC-TCD'!BX99="","",'[1]GC-TCD'!BX99)</f>
        <v>24.329052062632908</v>
      </c>
      <c r="Y96">
        <v>309.613</v>
      </c>
      <c r="Z96" s="6">
        <f>IF([1]SS!AB99="","",[1]SS!AB99)</f>
        <v>35499.999999999971</v>
      </c>
      <c r="AA96" s="6">
        <f>IF([1]SS!AG99="","",[1]SS!AG99)</f>
        <v>250.00000000000355</v>
      </c>
      <c r="AB96" s="6">
        <f>IF([1]流量!AF99="","",[1]流量!AF99)</f>
        <v>2.1422849535271533</v>
      </c>
      <c r="AC96" s="6">
        <f>IF([1]流量!AN99="","",[1]流量!AN99)</f>
        <v>1.0871135734052741</v>
      </c>
      <c r="AD96" s="4">
        <f>IF([1]氣體產量!AH99="","",[1]氣體產量!AH99)</f>
        <v>0.17393586704899058</v>
      </c>
      <c r="AE96" s="4">
        <f>IF([1]methane_yield!W99="","",[1]methane_yield!W99)</f>
        <v>5.9889438964430906E-2</v>
      </c>
      <c r="AF96" s="4">
        <f>IF([1]methane_yield!AA99="","",[1]methane_yield!AA99)</f>
        <v>6.1701162860153834E-2</v>
      </c>
    </row>
    <row r="97" spans="1:32">
      <c r="A97" s="1">
        <v>44931</v>
      </c>
      <c r="B97">
        <v>96</v>
      </c>
      <c r="C97" t="s">
        <v>123</v>
      </c>
      <c r="D97" s="6">
        <f>IF('[1]env-PLC'!S100="","",'[1]env-PLC'!S100)</f>
        <v>33.031818181818181</v>
      </c>
      <c r="E97" s="6">
        <f>IF('[1]env-PLC'!T100="","",'[1]env-PLC'!T100)</f>
        <v>6.3363636363636395</v>
      </c>
      <c r="F97" s="6">
        <f>IF('[1]env-PLC'!U100="","",'[1]env-PLC'!U100)</f>
        <v>-427.5</v>
      </c>
      <c r="G97" s="6">
        <f>IF('[1]env-PLC'!V100="","",'[1]env-PLC'!V100)</f>
        <v>56.9</v>
      </c>
      <c r="H97" s="6">
        <f>IF([1]鹼度!L100="","",[1]鹼度!L100)</f>
        <v>1472.9</v>
      </c>
      <c r="I97" s="6">
        <f>IF([1]HPLC!CH100="","",[1]HPLC!CH100)</f>
        <v>3.1299166629999999</v>
      </c>
      <c r="J97" s="6">
        <f>IF([1]HPLC!CI100="","",[1]HPLC!CI100)</f>
        <v>40.076916959999998</v>
      </c>
      <c r="K97" s="6">
        <f>IF([1]HPLC!CJ100="","",[1]HPLC!CJ100)</f>
        <v>359.77210696400005</v>
      </c>
      <c r="L97" s="6">
        <f>IF([1]HPLC!CK100="","",[1]HPLC!CK100)</f>
        <v>5.0934758179999999</v>
      </c>
      <c r="M97" s="6">
        <f>IF([1]HPLC!CL100="","",[1]HPLC!CL100)</f>
        <v>0</v>
      </c>
      <c r="N97" s="6">
        <f>IF([1]HPLC!CM100="","",[1]HPLC!CM100)</f>
        <v>1.4480595599999999</v>
      </c>
      <c r="O97" s="6">
        <f>IF([1]HPLC!CN100="","",[1]HPLC!CN100)</f>
        <v>599.45782098605002</v>
      </c>
      <c r="P97" s="6">
        <f>IF([1]HPLC!CO100="","",[1]HPLC!CO100)</f>
        <v>660</v>
      </c>
      <c r="Q97" s="6">
        <f>IF([1]HPLC!CP100="","",[1]HPLC!CP100)</f>
        <v>0.90826942573643943</v>
      </c>
      <c r="R97" s="6">
        <f>IF([1]HPLC!CQ100="","",[1]HPLC!CQ100)</f>
        <v>73.238490134551341</v>
      </c>
      <c r="S97" s="6">
        <f>IF([1]HPLC!CR100="","",[1]HPLC!CR100)</f>
        <v>70.535714285714292</v>
      </c>
      <c r="T97" s="5">
        <f>IF([1]氣體產量!AC100="","",[1]氣體產量!AC100)</f>
        <v>0.33409402424292722</v>
      </c>
      <c r="U97" s="3">
        <f>IF('[1]GC-TCD'!BU100="","",'[1]GC-TCD'!BU100)</f>
        <v>0</v>
      </c>
      <c r="V97" s="6">
        <f>IF('[1]GC-TCD'!BV100="","",'[1]GC-TCD'!BV100)</f>
        <v>21.046299372378602</v>
      </c>
      <c r="W97" s="6">
        <f>IF('[1]GC-TCD'!BW100="","",'[1]GC-TCD'!BW100)</f>
        <v>54.39224217917581</v>
      </c>
      <c r="X97" s="6">
        <f>IF('[1]GC-TCD'!BX100="","",'[1]GC-TCD'!BX100)</f>
        <v>24.561458448445581</v>
      </c>
      <c r="Y97">
        <v>297.202</v>
      </c>
      <c r="Z97" s="6">
        <f>IF([1]SS!AB100="","",[1]SS!AB100)</f>
        <v>33750.00000000016</v>
      </c>
      <c r="AA97" s="6">
        <f>IF([1]SS!AG100="","",[1]SS!AG100)</f>
        <v>257.99999999999824</v>
      </c>
      <c r="AB97" s="6">
        <f>IF([1]流量!AF100="","",[1]流量!AF100)</f>
        <v>2.0972556357430254</v>
      </c>
      <c r="AC97" s="6">
        <f>IF([1]流量!AN100="","",[1]流量!AN100)</f>
        <v>0.95270886076019579</v>
      </c>
      <c r="AD97" s="4">
        <f>IF([1]氣體產量!AH100="","",[1]氣體產量!AH100)</f>
        <v>0.18172123077236729</v>
      </c>
      <c r="AE97" s="4">
        <f>IF([1]methane_yield!W100="","",[1]methane_yield!W100)</f>
        <v>6.3296576355573606E-2</v>
      </c>
      <c r="AF97" s="4">
        <f>IF([1]methane_yield!AA100="","",[1]methane_yield!AA100)</f>
        <v>7.441115375128915E-2</v>
      </c>
    </row>
    <row r="98" spans="1:32">
      <c r="A98" s="1">
        <v>44932</v>
      </c>
      <c r="B98">
        <v>97</v>
      </c>
      <c r="C98" t="s">
        <v>124</v>
      </c>
      <c r="D98" s="6">
        <f>IF('[1]env-PLC'!S101="","",'[1]env-PLC'!S101)</f>
        <v>32.359090909090909</v>
      </c>
      <c r="E98" s="6">
        <f>IF('[1]env-PLC'!T101="","",'[1]env-PLC'!T101)</f>
        <v>6.3418181818181827</v>
      </c>
      <c r="F98" s="6">
        <f>IF('[1]env-PLC'!U101="","",'[1]env-PLC'!U101)</f>
        <v>-395.95454545454544</v>
      </c>
      <c r="G98" s="6">
        <f>IF('[1]env-PLC'!V101="","",'[1]env-PLC'!V101)</f>
        <v>58</v>
      </c>
      <c r="H98" s="6">
        <f>IF([1]鹼度!L101="","",[1]鹼度!L101)</f>
        <v>1473.0000000000002</v>
      </c>
      <c r="I98" s="6">
        <f>IF([1]HPLC!CH101="","",[1]HPLC!CH101)</f>
        <v>0</v>
      </c>
      <c r="J98" s="6">
        <f>IF([1]HPLC!CI101="","",[1]HPLC!CI101)</f>
        <v>47.886597119999998</v>
      </c>
      <c r="K98" s="6">
        <f>IF([1]HPLC!CJ101="","",[1]HPLC!CJ101)</f>
        <v>352.350855126</v>
      </c>
      <c r="L98" s="6">
        <f>IF([1]HPLC!CK101="","",[1]HPLC!CK101)</f>
        <v>4.3760709119999994</v>
      </c>
      <c r="M98" s="6">
        <f>IF([1]HPLC!CL101="","",[1]HPLC!CL101)</f>
        <v>0</v>
      </c>
      <c r="N98" s="6">
        <f>IF([1]HPLC!CM101="","",[1]HPLC!CM101)</f>
        <v>2.4533551039999999</v>
      </c>
      <c r="O98" s="6">
        <f>IF([1]HPLC!CN101="","",[1]HPLC!CN101)</f>
        <v>596.25774363066</v>
      </c>
      <c r="P98" s="6">
        <f>IF([1]HPLC!CO101="","",[1]HPLC!CO101)</f>
        <v>670</v>
      </c>
      <c r="Q98" s="6">
        <f>IF([1]HPLC!CP101="","",[1]HPLC!CP101)</f>
        <v>0.88993693079202985</v>
      </c>
      <c r="R98" s="6">
        <f>IF([1]HPLC!CQ101="","",[1]HPLC!CQ101)</f>
        <v>73.381350730774102</v>
      </c>
      <c r="S98" s="6">
        <f>IF([1]HPLC!CR101="","",[1]HPLC!CR101)</f>
        <v>70.089285714285708</v>
      </c>
      <c r="T98" s="5">
        <f>IF([1]氣體產量!AC101="","",[1]氣體產量!AC101)</f>
        <v>0.33167941565496967</v>
      </c>
      <c r="U98" s="3">
        <f>IF('[1]GC-TCD'!BU101="","",'[1]GC-TCD'!BU101)</f>
        <v>0</v>
      </c>
      <c r="V98" s="6">
        <f>IF('[1]GC-TCD'!BV101="","",'[1]GC-TCD'!BV101)</f>
        <v>24.701671028959868</v>
      </c>
      <c r="W98" s="6">
        <f>IF('[1]GC-TCD'!BW101="","",'[1]GC-TCD'!BW101)</f>
        <v>54.508671124329254</v>
      </c>
      <c r="X98" s="6">
        <f>IF('[1]GC-TCD'!BX101="","",'[1]GC-TCD'!BX101)</f>
        <v>20.789657846710888</v>
      </c>
      <c r="Y98">
        <v>350.27</v>
      </c>
      <c r="Z98" s="6">
        <f>IF([1]SS!AB101="","",[1]SS!AB101)</f>
        <v>39750.000000000065</v>
      </c>
      <c r="AA98" s="6">
        <f>IF([1]SS!AG101="","",[1]SS!AG101)</f>
        <v>273.99999999999648</v>
      </c>
      <c r="AB98" s="6">
        <f>IF([1]流量!AF101="","",[1]流量!AF101)</f>
        <v>2.1063303275295495</v>
      </c>
      <c r="AC98" s="6">
        <f>IF([1]流量!AN101="","",[1]流量!AN101)</f>
        <v>1.0885289256140747</v>
      </c>
      <c r="AD98" s="4">
        <f>IF([1]氣體產量!AH101="","",[1]氣體產量!AH101)</f>
        <v>0.18079404186646447</v>
      </c>
      <c r="AE98" s="4">
        <f>IF([1]methane_yield!W101="","",[1]methane_yield!W101)</f>
        <v>6.2851022212412927E-2</v>
      </c>
      <c r="AF98" s="4">
        <f>IF([1]methane_yield!AA101="","",[1]methane_yield!AA101)</f>
        <v>6.4668143603250058E-2</v>
      </c>
    </row>
    <row r="99" spans="1:32">
      <c r="A99" s="1">
        <v>44933</v>
      </c>
      <c r="B99">
        <v>98</v>
      </c>
      <c r="C99" t="s">
        <v>125</v>
      </c>
      <c r="D99" s="6">
        <f>IF('[1]env-PLC'!S102="","",'[1]env-PLC'!S102)</f>
        <v>32.469230769230769</v>
      </c>
      <c r="E99" s="6">
        <f>IF('[1]env-PLC'!T102="","",'[1]env-PLC'!T102)</f>
        <v>6.3499999999999979</v>
      </c>
      <c r="F99" s="6">
        <f>IF('[1]env-PLC'!U102="","",'[1]env-PLC'!U102)</f>
        <v>-335.19230769230768</v>
      </c>
      <c r="G99" s="6">
        <f>IF('[1]env-PLC'!V102="","",'[1]env-PLC'!V102)</f>
        <v>58.4</v>
      </c>
      <c r="H99" s="6">
        <f>IF([1]鹼度!L102="","",[1]鹼度!L102)</f>
        <v>1492.25</v>
      </c>
      <c r="I99" s="6">
        <f>IF([1]HPLC!CH102="","",[1]HPLC!CH102)</f>
        <v>0</v>
      </c>
      <c r="J99" s="6">
        <f>IF([1]HPLC!CI102="","",[1]HPLC!CI102)</f>
        <v>36.222289199999992</v>
      </c>
      <c r="K99" s="6">
        <f>IF([1]HPLC!CJ102="","",[1]HPLC!CJ102)</f>
        <v>326.28741413800003</v>
      </c>
      <c r="L99" s="6">
        <f>IF([1]HPLC!CK102="","",[1]HPLC!CK102)</f>
        <v>4.7887468579999997</v>
      </c>
      <c r="M99" s="6">
        <f>IF([1]HPLC!CL102="","",[1]HPLC!CL102)</f>
        <v>0</v>
      </c>
      <c r="N99" s="6">
        <f>IF([1]HPLC!CM102="","",[1]HPLC!CM102)</f>
        <v>2.3408766640000001</v>
      </c>
      <c r="O99" s="6">
        <f>IF([1]HPLC!CN102="","",[1]HPLC!CN102)</f>
        <v>544.94275246849998</v>
      </c>
      <c r="P99" s="6">
        <f>IF([1]HPLC!CO102="","",[1]HPLC!CO102)</f>
        <v>1070</v>
      </c>
      <c r="Q99" s="6">
        <f>IF([1]HPLC!CP102="","",[1]HPLC!CP102)</f>
        <v>0.50929229202663551</v>
      </c>
      <c r="R99" s="6">
        <f>IF([1]HPLC!CQ102="","",[1]HPLC!CQ102)</f>
        <v>75.672198550513386</v>
      </c>
      <c r="S99" s="6">
        <f>IF([1]HPLC!CR102="","",[1]HPLC!CR102)</f>
        <v>52.232142857142861</v>
      </c>
      <c r="T99" s="5">
        <f>IF([1]氣體產量!AC102="","",[1]氣體產量!AC102)</f>
        <v>0.38205537202937007</v>
      </c>
      <c r="U99" s="3">
        <f>IF('[1]GC-TCD'!BU102="","",'[1]GC-TCD'!BU102)</f>
        <v>0</v>
      </c>
      <c r="V99" s="6">
        <f>IF('[1]GC-TCD'!BV102="","",'[1]GC-TCD'!BV102)</f>
        <v>22.78415378565284</v>
      </c>
      <c r="W99" s="6">
        <f>IF('[1]GC-TCD'!BW102="","",'[1]GC-TCD'!BW102)</f>
        <v>54.269486908879792</v>
      </c>
      <c r="X99" s="6">
        <f>IF('[1]GC-TCD'!BX102="","",'[1]GC-TCD'!BX102)</f>
        <v>22.946359305467361</v>
      </c>
      <c r="Y99">
        <v>341.85700000000003</v>
      </c>
      <c r="Z99" s="6">
        <f>IF([1]SS!AB102="","",[1]SS!AB102)</f>
        <v>42749.999999999738</v>
      </c>
      <c r="AA99" s="6">
        <f>IF([1]SS!AG102="","",[1]SS!AG102)</f>
        <v>231.99999999999665</v>
      </c>
      <c r="AB99" s="6">
        <f>IF([1]流量!AF102="","",[1]流量!AF102)</f>
        <v>2.1931279144548812</v>
      </c>
      <c r="AC99" s="6">
        <f>IF([1]流量!AN102="","",[1]流量!AN102)</f>
        <v>1.1198475153163645</v>
      </c>
      <c r="AD99" s="4">
        <f>IF([1]氣體產量!AH102="","",[1]氣體產量!AH102)</f>
        <v>0.207339490108151</v>
      </c>
      <c r="AE99" s="4">
        <f>IF([1]methane_yield!W102="","",[1]methane_yield!W102)</f>
        <v>6.9897172385044989E-2</v>
      </c>
      <c r="AF99" s="4">
        <f>IF([1]methane_yield!AA102="","",[1]methane_yield!AA102)</f>
        <v>6.9906689973888464E-2</v>
      </c>
    </row>
    <row r="100" spans="1:32">
      <c r="A100" s="1">
        <v>44934</v>
      </c>
      <c r="B100">
        <v>99</v>
      </c>
      <c r="C100" t="s">
        <v>126</v>
      </c>
      <c r="D100" s="6">
        <f>IF('[1]env-PLC'!S103="","",'[1]env-PLC'!S103)</f>
        <v>32.861899999999999</v>
      </c>
      <c r="E100" s="6">
        <f>IF('[1]env-PLC'!T103="","",'[1]env-PLC'!T103)</f>
        <v>6.3414289999999998</v>
      </c>
      <c r="F100" s="6">
        <f>IF('[1]env-PLC'!U103="","",'[1]env-PLC'!U103)</f>
        <v>-383.238</v>
      </c>
      <c r="G100" s="6">
        <f>IF('[1]env-PLC'!V103="","",'[1]env-PLC'!V103)</f>
        <v>58.1</v>
      </c>
      <c r="H100" s="6">
        <f>IF([1]鹼度!L103="","",[1]鹼度!L103)</f>
        <v>1448.0000000000002</v>
      </c>
      <c r="I100" s="6">
        <f>IF([1]HPLC!CH103="","",[1]HPLC!CH103)</f>
        <v>3.416074777</v>
      </c>
      <c r="J100" s="6">
        <f>IF([1]HPLC!CI103="","",[1]HPLC!CI103)</f>
        <v>38.483245199999999</v>
      </c>
      <c r="K100" s="6">
        <f>IF([1]HPLC!CJ103="","",[1]HPLC!CJ103)</f>
        <v>321.88045125299999</v>
      </c>
      <c r="L100" s="6">
        <f>IF([1]HPLC!CK103="","",[1]HPLC!CK103)</f>
        <v>5.2172571940000001</v>
      </c>
      <c r="M100" s="6">
        <f>IF([1]HPLC!CL103="","",[1]HPLC!CL103)</f>
        <v>0</v>
      </c>
      <c r="N100" s="6">
        <f>IF([1]HPLC!CM103="","",[1]HPLC!CM103)</f>
        <v>2.5280131999999997</v>
      </c>
      <c r="O100" s="6">
        <f>IF([1]HPLC!CN103="","",[1]HPLC!CN103)</f>
        <v>543.06473494905993</v>
      </c>
      <c r="P100" s="6">
        <f>IF([1]HPLC!CO103="","",[1]HPLC!CO103)</f>
        <v>1020</v>
      </c>
      <c r="Q100" s="6">
        <f>IF([1]HPLC!CP103="","",[1]HPLC!CP103)</f>
        <v>0.53241640681280389</v>
      </c>
      <c r="R100" s="6">
        <f>IF([1]HPLC!CQ103="","",[1]HPLC!CQ103)</f>
        <v>75.756038618345528</v>
      </c>
      <c r="S100" s="6">
        <f>IF([1]HPLC!CR103="","",[1]HPLC!CR103)</f>
        <v>54.464285714285708</v>
      </c>
      <c r="T100" s="5">
        <f>IF([1]氣體產量!AC103="","",[1]氣體產量!AC103)</f>
        <v>0.4188672000024381</v>
      </c>
      <c r="U100" s="3">
        <f>IF('[1]GC-TCD'!BU103="","",'[1]GC-TCD'!BU103)</f>
        <v>0</v>
      </c>
      <c r="V100" s="6">
        <f>IF('[1]GC-TCD'!BV103="","",'[1]GC-TCD'!BV103)</f>
        <v>22.328321521733852</v>
      </c>
      <c r="W100" s="6">
        <f>IF('[1]GC-TCD'!BW103="","",'[1]GC-TCD'!BW103)</f>
        <v>54.074479609025616</v>
      </c>
      <c r="X100" s="6">
        <f>IF('[1]GC-TCD'!BX103="","",'[1]GC-TCD'!BX103)</f>
        <v>23.597198869240518</v>
      </c>
      <c r="Y100">
        <v>265.709</v>
      </c>
      <c r="Z100" s="6">
        <f>IF([1]SS!AB103="","",[1]SS!AB103)</f>
        <v>8250.0000000002001</v>
      </c>
      <c r="AA100" s="6">
        <f>IF([1]SS!AG103="","",[1]SS!AG103)</f>
        <v>285.9999999999996</v>
      </c>
      <c r="AB100" s="6">
        <f>IF([1]流量!AF103="","",[1]流量!AF103)</f>
        <v>2.1840072320994626</v>
      </c>
      <c r="AC100" s="6">
        <f>IF([1]流量!AN103="","",[1]流量!AN103)</f>
        <v>1.0676281690158351</v>
      </c>
      <c r="AD100" s="4">
        <f>IF([1]氣體產量!AH103="","",[1]氣體產量!AH103)</f>
        <v>0.22650025865421494</v>
      </c>
      <c r="AE100" s="4">
        <f>IF([1]methane_yield!W103="","",[1]methane_yield!W103)</f>
        <v>7.6272042839002852E-2</v>
      </c>
      <c r="AF100" s="4">
        <f>IF([1]methane_yield!AA103="","",[1]methane_yield!AA103)</f>
        <v>8.001352011761706E-2</v>
      </c>
    </row>
    <row r="101" spans="1:32">
      <c r="A101" s="1">
        <v>44935</v>
      </c>
      <c r="B101">
        <v>100</v>
      </c>
      <c r="C101" t="s">
        <v>127</v>
      </c>
      <c r="D101" s="6">
        <f>IF('[1]env-PLC'!S104="","",'[1]env-PLC'!S104)</f>
        <v>32.976923076923086</v>
      </c>
      <c r="E101" s="6">
        <f>IF('[1]env-PLC'!T104="","",'[1]env-PLC'!T104)</f>
        <v>6.3261538461538427</v>
      </c>
      <c r="F101" s="6">
        <f>IF('[1]env-PLC'!U104="","",'[1]env-PLC'!U104)</f>
        <v>-388.76923076923077</v>
      </c>
      <c r="G101" s="6">
        <f>IF('[1]env-PLC'!V104="","",'[1]env-PLC'!V104)</f>
        <v>57</v>
      </c>
      <c r="H101" s="6">
        <f>IF([1]鹼度!L104="","",[1]鹼度!L104)</f>
        <v>1405.9</v>
      </c>
      <c r="I101" s="6">
        <f>IF([1]HPLC!CH104="","",[1]HPLC!CH104)</f>
        <v>1.1825450480000002</v>
      </c>
      <c r="J101" s="6">
        <f>IF([1]HPLC!CI104="","",[1]HPLC!CI104)</f>
        <v>49.077887039999993</v>
      </c>
      <c r="K101" s="6">
        <f>IF([1]HPLC!CJ104="","",[1]HPLC!CJ104)</f>
        <v>286.968484241</v>
      </c>
      <c r="L101" s="6">
        <f>IF([1]HPLC!CK104="","",[1]HPLC!CK104)</f>
        <v>4.9144549360000003</v>
      </c>
      <c r="M101" s="6">
        <f>IF([1]HPLC!CL104="","",[1]HPLC!CL104)</f>
        <v>0</v>
      </c>
      <c r="N101" s="6">
        <f>IF([1]HPLC!CM104="","",[1]HPLC!CM104)</f>
        <v>2.375465792</v>
      </c>
      <c r="O101" s="6">
        <f>IF([1]HPLC!CN104="","",[1]HPLC!CN104)</f>
        <v>500.03989930270996</v>
      </c>
      <c r="P101" s="6">
        <f>IF([1]HPLC!CO104="","",[1]HPLC!CO104)</f>
        <v>550</v>
      </c>
      <c r="Q101" s="6">
        <f>IF([1]HPLC!CP104="","",[1]HPLC!CP104)</f>
        <v>0.90916345327765447</v>
      </c>
      <c r="R101" s="6">
        <f>IF([1]HPLC!CQ104="","",[1]HPLC!CQ104)</f>
        <v>77.676790209700457</v>
      </c>
      <c r="S101" s="6">
        <f>IF([1]HPLC!CR104="","",[1]HPLC!CR104)</f>
        <v>75.446428571428569</v>
      </c>
      <c r="T101" s="5">
        <f>IF([1]氣體產量!AC104="","",[1]氣體產量!AC104)</f>
        <v>0.44437907653995262</v>
      </c>
      <c r="U101" s="3">
        <f>IF('[1]GC-TCD'!BU104="","",'[1]GC-TCD'!BU104)</f>
        <v>0</v>
      </c>
      <c r="V101" s="6">
        <f>IF('[1]GC-TCD'!BV104="","",'[1]GC-TCD'!BV104)</f>
        <v>29.029329888084405</v>
      </c>
      <c r="W101" s="6">
        <f>IF('[1]GC-TCD'!BW104="","",'[1]GC-TCD'!BW104)</f>
        <v>49.127179516241213</v>
      </c>
      <c r="X101" s="6">
        <f>IF('[1]GC-TCD'!BX104="","",'[1]GC-TCD'!BX104)</f>
        <v>21.843490595674382</v>
      </c>
      <c r="Y101">
        <v>295.71199999999999</v>
      </c>
      <c r="Z101" s="6">
        <f>IF([1]SS!AB104="","",[1]SS!AB104)</f>
        <v>30499.999999999971</v>
      </c>
      <c r="AA101" s="6">
        <f>IF([1]SS!AG104="","",[1]SS!AG104)</f>
        <v>299.99999999999807</v>
      </c>
      <c r="AB101" s="6">
        <f>IF([1]流量!AF104="","",[1]流量!AF104)</f>
        <v>2.1478445658808871</v>
      </c>
      <c r="AC101" s="6">
        <f>IF([1]流量!AN104="","",[1]流量!AN104)</f>
        <v>1.0962234636910722</v>
      </c>
      <c r="AD101" s="4">
        <f>IF([1]氣體產量!AH104="","",[1]氣體產量!AH104)</f>
        <v>0.21831090666439745</v>
      </c>
      <c r="AE101" s="4">
        <f>IF([1]methane_yield!W104="","",[1]methane_yield!W104)</f>
        <v>7.1696523082638228E-2</v>
      </c>
      <c r="AF101" s="4">
        <f>IF([1]methane_yield!AA104="","",[1]methane_yield!AA104)</f>
        <v>7.3251584656086416E-2</v>
      </c>
    </row>
    <row r="102" spans="1:32">
      <c r="A102" s="1">
        <v>44936</v>
      </c>
      <c r="B102">
        <v>101</v>
      </c>
      <c r="C102" t="s">
        <v>128</v>
      </c>
      <c r="D102" s="6">
        <f>IF('[1]env-PLC'!S105="","",'[1]env-PLC'!S105)</f>
        <v>32.800000000000004</v>
      </c>
      <c r="E102" s="6">
        <f>IF('[1]env-PLC'!T105="","",'[1]env-PLC'!T105)</f>
        <v>6.3208333333333302</v>
      </c>
      <c r="F102" s="6">
        <f>IF('[1]env-PLC'!U105="","",'[1]env-PLC'!U105)</f>
        <v>-390.25</v>
      </c>
      <c r="G102" s="6">
        <f>IF('[1]env-PLC'!V105="","",'[1]env-PLC'!V105)</f>
        <v>56</v>
      </c>
      <c r="H102" s="6">
        <f>IF([1]鹼度!L105="","",[1]鹼度!L105)</f>
        <v>1425.0500000000002</v>
      </c>
      <c r="I102" s="6">
        <f>IF([1]HPLC!CH105="","",[1]HPLC!CH105)</f>
        <v>2.6410565519999998</v>
      </c>
      <c r="J102" s="6">
        <f>IF([1]HPLC!CI105="","",[1]HPLC!CI105)</f>
        <v>53.145628079999994</v>
      </c>
      <c r="K102" s="6">
        <f>IF([1]HPLC!CJ105="","",[1]HPLC!CJ105)</f>
        <v>263.74628524100001</v>
      </c>
      <c r="L102" s="6">
        <f>IF([1]HPLC!CK105="","",[1]HPLC!CK105)</f>
        <v>4.7742043179999998</v>
      </c>
      <c r="M102" s="6">
        <f>IF([1]HPLC!CL105="","",[1]HPLC!CL105)</f>
        <v>0</v>
      </c>
      <c r="N102" s="6">
        <f>IF([1]HPLC!CM105="","",[1]HPLC!CM105)</f>
        <v>0</v>
      </c>
      <c r="O102" s="6">
        <f>IF([1]HPLC!CN105="","",[1]HPLC!CN105)</f>
        <v>464.73613441147006</v>
      </c>
      <c r="P102" s="6">
        <f>IF([1]HPLC!CO105="","",[1]HPLC!CO105)</f>
        <v>640</v>
      </c>
      <c r="Q102" s="6">
        <f>IF([1]HPLC!CP105="","",[1]HPLC!CP105)</f>
        <v>0.72615021001792202</v>
      </c>
      <c r="R102" s="6">
        <f>IF([1]HPLC!CQ105="","",[1]HPLC!CQ105)</f>
        <v>79.252851142345079</v>
      </c>
      <c r="S102" s="6">
        <f>IF([1]HPLC!CR105="","",[1]HPLC!CR105)</f>
        <v>71.428571428571431</v>
      </c>
      <c r="T102" s="5">
        <f>IF([1]氣體產量!AC105="","",[1]氣體產量!AC105)</f>
        <v>0.47319838103707584</v>
      </c>
      <c r="U102" s="3">
        <f>IF('[1]GC-TCD'!BU105="","",'[1]GC-TCD'!BU105)</f>
        <v>4.7460603787440235E-2</v>
      </c>
      <c r="V102" s="6">
        <f>IF('[1]GC-TCD'!BV105="","",'[1]GC-TCD'!BV105)</f>
        <v>30.234266167239142</v>
      </c>
      <c r="W102" s="6">
        <f>IF('[1]GC-TCD'!BW105="","",'[1]GC-TCD'!BW105)</f>
        <v>44.728069584446118</v>
      </c>
      <c r="X102" s="6">
        <f>IF('[1]GC-TCD'!BX105="","",'[1]GC-TCD'!BX105)</f>
        <v>24.990203644527302</v>
      </c>
      <c r="Y102">
        <v>313.767</v>
      </c>
      <c r="Z102" s="6">
        <f>IF([1]SS!AB105="","",[1]SS!AB105)</f>
        <v>40999.99999999992</v>
      </c>
      <c r="AA102" s="6">
        <f>IF([1]SS!AG105="","",[1]SS!AG105)</f>
        <v>226.00000000000176</v>
      </c>
      <c r="AB102" s="6">
        <f>IF([1]流量!AF105="","",[1]流量!AF105)</f>
        <v>1.9805892766844175</v>
      </c>
      <c r="AC102" s="6">
        <f>IF([1]流量!AN105="","",[1]流量!AN105)</f>
        <v>1.0941964664292949</v>
      </c>
      <c r="AD102" s="4">
        <f>IF([1]氣體產量!AH105="","",[1]氣體產量!AH105)</f>
        <v>0.21165250114273576</v>
      </c>
      <c r="AE102" s="4">
        <f>IF([1]methane_yield!W105="","",[1]methane_yield!W105)</f>
        <v>6.8127498515372822E-2</v>
      </c>
      <c r="AF102" s="4">
        <f>IF([1]methane_yield!AA105="","",[1]methane_yield!AA105)</f>
        <v>6.9734093170870343E-2</v>
      </c>
    </row>
    <row r="103" spans="1:32">
      <c r="A103" s="1">
        <v>44937</v>
      </c>
      <c r="B103">
        <v>102</v>
      </c>
      <c r="C103" t="s">
        <v>129</v>
      </c>
      <c r="D103" s="6">
        <f>IF('[1]env-PLC'!S106="","",'[1]env-PLC'!S106)</f>
        <v>32.75</v>
      </c>
      <c r="E103" s="6">
        <f>IF('[1]env-PLC'!T106="","",'[1]env-PLC'!T106)</f>
        <v>6.3400000000000025</v>
      </c>
      <c r="F103" s="6">
        <f>IF('[1]env-PLC'!U106="","",'[1]env-PLC'!U106)</f>
        <v>-390</v>
      </c>
      <c r="G103" s="6">
        <f>IF('[1]env-PLC'!V106="","",'[1]env-PLC'!V106)</f>
        <v>56.1</v>
      </c>
      <c r="H103" s="6">
        <f>IF([1]鹼度!L106="","",[1]鹼度!L106)</f>
        <v>1420.45</v>
      </c>
      <c r="I103" s="6">
        <f>IF([1]HPLC!CH106="","",[1]HPLC!CH106)</f>
        <v>1.129625689</v>
      </c>
      <c r="J103" s="6">
        <f>IF([1]HPLC!CI106="","",[1]HPLC!CI106)</f>
        <v>38.094756719999999</v>
      </c>
      <c r="K103" s="6">
        <f>IF([1]HPLC!CJ106="","",[1]HPLC!CJ106)</f>
        <v>275.77758682199999</v>
      </c>
      <c r="L103" s="6">
        <f>IF([1]HPLC!CK106="","",[1]HPLC!CK106)</f>
        <v>5.3465381599999997</v>
      </c>
      <c r="M103" s="6">
        <f>IF([1]HPLC!CL106="","",[1]HPLC!CL106)</f>
        <v>0</v>
      </c>
      <c r="N103" s="6">
        <f>IF([1]HPLC!CM106="","",[1]HPLC!CM106)</f>
        <v>0</v>
      </c>
      <c r="O103" s="6">
        <f>IF([1]HPLC!CN106="","",[1]HPLC!CN106)</f>
        <v>467.31161423396998</v>
      </c>
      <c r="P103" s="6">
        <f>IF([1]HPLC!CO106="","",[1]HPLC!CO106)</f>
        <v>570</v>
      </c>
      <c r="Q103" s="6">
        <f>IF([1]HPLC!CP106="","",[1]HPLC!CP106)</f>
        <v>0.8198449372525789</v>
      </c>
      <c r="R103" s="6">
        <f>IF([1]HPLC!CQ106="","",[1]HPLC!CQ106)</f>
        <v>79.137874364554918</v>
      </c>
      <c r="S103" s="6">
        <f>IF([1]HPLC!CR106="","",[1]HPLC!CR106)</f>
        <v>74.553571428571431</v>
      </c>
      <c r="T103" s="5">
        <f>IF([1]氣體產量!AC106="","",[1]氣體產量!AC106)</f>
        <v>0.37448384057715767</v>
      </c>
      <c r="U103" s="3">
        <f>IF('[1]GC-TCD'!BU106="","",'[1]GC-TCD'!BU106)</f>
        <v>0</v>
      </c>
      <c r="V103" s="6">
        <f>IF('[1]GC-TCD'!BV106="","",'[1]GC-TCD'!BV106)</f>
        <v>24.851113788527122</v>
      </c>
      <c r="W103" s="6">
        <f>IF('[1]GC-TCD'!BW106="","",'[1]GC-TCD'!BW106)</f>
        <v>54.242477336792916</v>
      </c>
      <c r="X103" s="6">
        <f>IF('[1]GC-TCD'!BX106="","",'[1]GC-TCD'!BX106)</f>
        <v>20.906408874679961</v>
      </c>
      <c r="Y103">
        <v>274.339</v>
      </c>
      <c r="Z103" s="6">
        <f>IF([1]SS!AB106="","",[1]SS!AB106)</f>
        <v>38750.000000000167</v>
      </c>
      <c r="AA103" s="6">
        <f>IF([1]SS!AG106="","",[1]SS!AG106)</f>
        <v>261.99999999999778</v>
      </c>
      <c r="AB103" s="6">
        <f>IF([1]流量!AF106="","",[1]流量!AF106)</f>
        <v>2.08276224415577</v>
      </c>
      <c r="AC103" s="6">
        <f>IF([1]流量!AN106="","",[1]流量!AN106)</f>
        <v>1.05182608696755</v>
      </c>
      <c r="AD103" s="4">
        <f>IF([1]氣體產量!AH106="","",[1]氣體產量!AH106)</f>
        <v>0.20312931235501647</v>
      </c>
      <c r="AE103" s="4">
        <f>IF([1]methane_yield!W106="","",[1]methane_yield!W106)</f>
        <v>6.5479016902418641E-2</v>
      </c>
      <c r="AF103" s="4">
        <f>IF([1]methane_yield!AA106="","",[1]methane_yield!AA106)</f>
        <v>6.9723027256474016E-2</v>
      </c>
    </row>
    <row r="104" spans="1:32">
      <c r="A104" s="1">
        <v>44938</v>
      </c>
      <c r="B104">
        <v>103</v>
      </c>
      <c r="C104" t="s">
        <v>130</v>
      </c>
      <c r="D104" s="6">
        <f>IF('[1]env-PLC'!S107="","",'[1]env-PLC'!S107)</f>
        <v>32.974999999999994</v>
      </c>
      <c r="E104" s="6">
        <f>IF('[1]env-PLC'!T107="","",'[1]env-PLC'!T107)</f>
        <v>6.3400000000000025</v>
      </c>
      <c r="F104" s="6">
        <f>IF('[1]env-PLC'!U107="","",'[1]env-PLC'!U107)</f>
        <v>-399.66666666666669</v>
      </c>
      <c r="G104" s="6">
        <f>IF('[1]env-PLC'!V107="","",'[1]env-PLC'!V107)</f>
        <v>57.1</v>
      </c>
      <c r="H104" s="6">
        <f>IF([1]鹼度!L107="","",[1]鹼度!L107)</f>
        <v>1398.45</v>
      </c>
      <c r="I104" s="6">
        <f>IF([1]HPLC!CH107="","",[1]HPLC!CH107)</f>
        <v>1.1092856269999998</v>
      </c>
      <c r="J104" s="6">
        <f>IF([1]HPLC!CI107="","",[1]HPLC!CI107)</f>
        <v>40.173382079999996</v>
      </c>
      <c r="K104" s="6">
        <f>IF([1]HPLC!CJ107="","",[1]HPLC!CJ107)</f>
        <v>274.094173883</v>
      </c>
      <c r="L104" s="6">
        <f>IF([1]HPLC!CK107="","",[1]HPLC!CK107)</f>
        <v>4.898790331999999</v>
      </c>
      <c r="M104" s="6">
        <f>IF([1]HPLC!CL107="","",[1]HPLC!CL107)</f>
        <v>0</v>
      </c>
      <c r="N104" s="6">
        <f>IF([1]HPLC!CM107="","",[1]HPLC!CM107)</f>
        <v>2.95879476</v>
      </c>
      <c r="O104" s="6">
        <f>IF([1]HPLC!CN107="","",[1]HPLC!CN107)</f>
        <v>472.20771107301999</v>
      </c>
      <c r="P104" s="6">
        <f>IF([1]HPLC!CO107="","",[1]HPLC!CO107)</f>
        <v>1200</v>
      </c>
      <c r="Q104" s="6">
        <f>IF([1]HPLC!CP107="","",[1]HPLC!CP107)</f>
        <v>0.39350642589418333</v>
      </c>
      <c r="R104" s="6">
        <f>IF([1]HPLC!CQ107="","",[1]HPLC!CQ107)</f>
        <v>78.919298612811602</v>
      </c>
      <c r="S104" s="6">
        <f>IF([1]HPLC!CR107="","",[1]HPLC!CR107)</f>
        <v>46.428571428571431</v>
      </c>
      <c r="T104" s="5">
        <f>IF([1]氣體產量!AC107="","",[1]氣體產量!AC107)</f>
        <v>0.37759667508422318</v>
      </c>
      <c r="U104" s="3">
        <f>IF('[1]GC-TCD'!BU107="","",'[1]GC-TCD'!BU107)</f>
        <v>0</v>
      </c>
      <c r="V104" s="6">
        <f>IF('[1]GC-TCD'!BV107="","",'[1]GC-TCD'!BV107)</f>
        <v>20.527300594846466</v>
      </c>
      <c r="W104" s="6">
        <f>IF('[1]GC-TCD'!BW107="","",'[1]GC-TCD'!BW107)</f>
        <v>55.577093566787347</v>
      </c>
      <c r="X104" s="6">
        <f>IF('[1]GC-TCD'!BX107="","",'[1]GC-TCD'!BX107)</f>
        <v>23.89560583836618</v>
      </c>
      <c r="Y104">
        <v>263.28800000000001</v>
      </c>
      <c r="Z104" s="6">
        <f>IF([1]SS!AB107="","",[1]SS!AB107)</f>
        <v>39750.000000000065</v>
      </c>
      <c r="AA104" s="6">
        <f>IF([1]SS!AG107="","",[1]SS!AG107)</f>
        <v>369.9999999999992</v>
      </c>
      <c r="AB104" s="6">
        <f>IF([1]流量!AF107="","",[1]流量!AF107)</f>
        <v>2.0587582445510839</v>
      </c>
      <c r="AC104" s="6">
        <f>IF([1]流量!AN107="","",[1]流量!AN107)</f>
        <v>1.0857559607241718</v>
      </c>
      <c r="AD104" s="4">
        <f>IF([1]氣體產量!AH107="","",[1]氣體產量!AH107)</f>
        <v>0.20985725741663672</v>
      </c>
      <c r="AE104" s="4">
        <f>IF([1]methane_yield!W107="","",[1]methane_yield!W107)</f>
        <v>6.7835137397445691E-2</v>
      </c>
      <c r="AF104" s="4">
        <f>IF([1]methane_yield!AA107="","",[1]methane_yield!AA107)</f>
        <v>6.9974613664073773E-2</v>
      </c>
    </row>
    <row r="105" spans="1:32">
      <c r="A105" s="1">
        <v>44939</v>
      </c>
      <c r="B105">
        <v>104</v>
      </c>
      <c r="C105" t="s">
        <v>131</v>
      </c>
      <c r="D105" s="6">
        <f>IF('[1]env-PLC'!S108="","",'[1]env-PLC'!S108)</f>
        <v>33.004761904761899</v>
      </c>
      <c r="E105" s="6">
        <f>IF('[1]env-PLC'!T108="","",'[1]env-PLC'!T108)</f>
        <v>6.3400000000000016</v>
      </c>
      <c r="F105" s="6">
        <f>IF('[1]env-PLC'!U108="","",'[1]env-PLC'!U108)</f>
        <v>-388.85714285714283</v>
      </c>
      <c r="G105" s="6">
        <f>IF('[1]env-PLC'!V108="","",'[1]env-PLC'!V108)</f>
        <v>57.8</v>
      </c>
      <c r="H105" s="6">
        <f>IF([1]鹼度!L108="","",[1]鹼度!L108)</f>
        <v>1442.1</v>
      </c>
      <c r="I105" s="6">
        <f>IF([1]HPLC!CH108="","",[1]HPLC!CH108)</f>
        <v>1.137582525</v>
      </c>
      <c r="J105" s="6">
        <f>IF([1]HPLC!CI108="","",[1]HPLC!CI108)</f>
        <v>43.93667808</v>
      </c>
      <c r="K105" s="6">
        <f>IF([1]HPLC!CJ108="","",[1]HPLC!CJ108)</f>
        <v>283.86327137699999</v>
      </c>
      <c r="L105" s="6">
        <f>IF([1]HPLC!CK108="","",[1]HPLC!CK108)</f>
        <v>4.6565869119999999</v>
      </c>
      <c r="M105" s="6">
        <f>IF([1]HPLC!CL108="","",[1]HPLC!CL108)</f>
        <v>0</v>
      </c>
      <c r="N105" s="6">
        <f>IF([1]HPLC!CM108="","",[1]HPLC!CM108)</f>
        <v>2.6445542799999999</v>
      </c>
      <c r="O105" s="6">
        <f>IF([1]HPLC!CN108="","",[1]HPLC!CN108)</f>
        <v>489.91381811965999</v>
      </c>
      <c r="P105" s="6">
        <f>IF([1]HPLC!CO108="","",[1]HPLC!CO108)</f>
        <v>400</v>
      </c>
      <c r="Q105" s="6">
        <f>IF([1]HPLC!CP108="","",[1]HPLC!CP108)</f>
        <v>1.2247845452991499</v>
      </c>
      <c r="R105" s="6">
        <f>IF([1]HPLC!CQ108="","",[1]HPLC!CQ108)</f>
        <v>78.128847405372326</v>
      </c>
      <c r="S105" s="6">
        <f>IF([1]HPLC!CR108="","",[1]HPLC!CR108)</f>
        <v>82.142857142857139</v>
      </c>
      <c r="T105" s="5">
        <f>IF([1]氣體產量!AC108="","",[1]氣體產量!AC108)</f>
        <v>0.46304724271483216</v>
      </c>
      <c r="U105" s="3">
        <f>IF('[1]GC-TCD'!BU108="","",'[1]GC-TCD'!BU108)</f>
        <v>0</v>
      </c>
      <c r="V105" s="6">
        <f>IF('[1]GC-TCD'!BV108="","",'[1]GC-TCD'!BV108)</f>
        <v>28.910288296046183</v>
      </c>
      <c r="W105" s="6">
        <f>IF('[1]GC-TCD'!BW108="","",'[1]GC-TCD'!BW108)</f>
        <v>53.165222644808097</v>
      </c>
      <c r="X105" s="6">
        <f>IF('[1]GC-TCD'!BX108="","",'[1]GC-TCD'!BX108)</f>
        <v>17.924489059145717</v>
      </c>
      <c r="Y105">
        <v>289.58800000000002</v>
      </c>
      <c r="Z105" s="6">
        <f>IF([1]SS!AB108="","",[1]SS!AB108)</f>
        <v>38250.000000000226</v>
      </c>
      <c r="AA105" s="6">
        <f>IF([1]SS!AG108="","",[1]SS!AG108)</f>
        <v>282</v>
      </c>
      <c r="AB105" s="6">
        <f>IF([1]流量!AF108="","",[1]流量!AF108)</f>
        <v>2.1286076887813588</v>
      </c>
      <c r="AC105" s="6">
        <f>IF([1]流量!AN108="","",[1]流量!AN108)</f>
        <v>1.0693405994572458</v>
      </c>
      <c r="AD105" s="4">
        <f>IF([1]氣體產量!AH108="","",[1]氣體產量!AH108)</f>
        <v>0.24618009753998546</v>
      </c>
      <c r="AE105" s="4">
        <f>IF([1]methane_yield!W108="","",[1]methane_yield!W108)</f>
        <v>8.038137944742578E-2</v>
      </c>
      <c r="AF105" s="4">
        <f>IF([1]methane_yield!AA108="","",[1]methane_yield!AA108)</f>
        <v>8.4189401418791221E-2</v>
      </c>
    </row>
    <row r="106" spans="1:32">
      <c r="A106" s="1">
        <v>44940</v>
      </c>
      <c r="B106">
        <v>105</v>
      </c>
      <c r="C106" t="s">
        <v>132</v>
      </c>
      <c r="D106" s="6">
        <f>IF('[1]env-PLC'!S109="","",'[1]env-PLC'!S109)</f>
        <v>33.634779999999999</v>
      </c>
      <c r="E106" s="6">
        <f>IF('[1]env-PLC'!T109="","",'[1]env-PLC'!T109)</f>
        <v>6.3417389999999996</v>
      </c>
      <c r="F106" s="6">
        <f>IF('[1]env-PLC'!U109="","",'[1]env-PLC'!U109)</f>
        <v>-337.65199999999999</v>
      </c>
      <c r="G106" s="6">
        <f>IF('[1]env-PLC'!V109="","",'[1]env-PLC'!V109)</f>
        <v>57.8</v>
      </c>
      <c r="H106" s="6">
        <f>IF([1]鹼度!L109="","",[1]鹼度!L109)</f>
        <v>1470.7</v>
      </c>
      <c r="I106" s="6">
        <f>IF([1]HPLC!CH109="","",[1]HPLC!CH109)</f>
        <v>2.297238042</v>
      </c>
      <c r="J106" s="6">
        <f>IF([1]HPLC!CI109="","",[1]HPLC!CI109)</f>
        <v>41.596934640000001</v>
      </c>
      <c r="K106" s="6">
        <f>IF([1]HPLC!CJ109="","",[1]HPLC!CJ109)</f>
        <v>240.22744344</v>
      </c>
      <c r="L106" s="6">
        <f>IF([1]HPLC!CK109="","",[1]HPLC!CK109)</f>
        <v>4.1940824659999993</v>
      </c>
      <c r="M106" s="6">
        <f>IF([1]HPLC!CL109="","",[1]HPLC!CL109)</f>
        <v>0</v>
      </c>
      <c r="N106" s="6">
        <f>IF([1]HPLC!CM109="","",[1]HPLC!CM109)</f>
        <v>1.1112714279999998</v>
      </c>
      <c r="O106" s="6">
        <f>IF([1]HPLC!CN109="","",[1]HPLC!CN109)</f>
        <v>417.95641677513999</v>
      </c>
      <c r="P106" s="6">
        <f>IF([1]HPLC!CO109="","",[1]HPLC!CO109)</f>
        <v>510</v>
      </c>
      <c r="Q106" s="6">
        <f>IF([1]HPLC!CP109="","",[1]HPLC!CP109)</f>
        <v>0.81952238583360781</v>
      </c>
      <c r="R106" s="6">
        <f>IF([1]HPLC!CQ109="","",[1]HPLC!CQ109)</f>
        <v>81.341231393966964</v>
      </c>
      <c r="S106" s="6">
        <f>IF([1]HPLC!CR109="","",[1]HPLC!CR109)</f>
        <v>77.232142857142861</v>
      </c>
      <c r="T106" s="5">
        <f>IF([1]氣體產量!AC109="","",[1]氣體產量!AC109)</f>
        <v>0.29897244482185742</v>
      </c>
      <c r="U106" s="3">
        <f>IF('[1]GC-TCD'!BU109="","",'[1]GC-TCD'!BU109)</f>
        <v>0</v>
      </c>
      <c r="V106" s="6">
        <f>IF('[1]GC-TCD'!BV109="","",'[1]GC-TCD'!BV109)</f>
        <v>18.561667401515749</v>
      </c>
      <c r="W106" s="6">
        <f>IF('[1]GC-TCD'!BW109="","",'[1]GC-TCD'!BW109)</f>
        <v>54.964379348290763</v>
      </c>
      <c r="X106" s="6">
        <f>IF('[1]GC-TCD'!BX109="","",'[1]GC-TCD'!BX109)</f>
        <v>26.473953250193482</v>
      </c>
      <c r="Y106">
        <v>294.5</v>
      </c>
      <c r="Z106" s="6">
        <f>IF([1]SS!AB109="","",[1]SS!AB109)</f>
        <v>29750.000000000055</v>
      </c>
      <c r="AA106" s="6">
        <f>IF([1]SS!AG109="","",[1]SS!AG109)</f>
        <v>208.00000000000375</v>
      </c>
      <c r="AB106" s="6">
        <f>IF([1]流量!AF109="","",[1]流量!AF109)</f>
        <v>2.0661778529756702</v>
      </c>
      <c r="AC106" s="6">
        <f>IF([1]流量!AN109="","",[1]流量!AN109)</f>
        <v>1.0824161073831655</v>
      </c>
      <c r="AD106" s="4">
        <f>IF([1]氣體產量!AH109="","",[1]氣體產量!AH109)</f>
        <v>0.16432834871874502</v>
      </c>
      <c r="AE106" s="4">
        <f>IF([1]methane_yield!W109="","",[1]methane_yield!W109)</f>
        <v>5.1536590243011798E-2</v>
      </c>
      <c r="AF106" s="4">
        <f>IF([1]methane_yield!AA109="","",[1]methane_yield!AA109)</f>
        <v>5.332605518197496E-2</v>
      </c>
    </row>
    <row r="107" spans="1:32">
      <c r="A107" s="1">
        <v>44941</v>
      </c>
      <c r="B107">
        <v>106</v>
      </c>
      <c r="C107" t="s">
        <v>133</v>
      </c>
      <c r="D107" s="6">
        <f>IF('[1]env-PLC'!S110="","",'[1]env-PLC'!S110)</f>
        <v>32.365519999999997</v>
      </c>
      <c r="E107" s="6">
        <f>IF('[1]env-PLC'!T110="","",'[1]env-PLC'!T110)</f>
        <v>6.3396549999999996</v>
      </c>
      <c r="F107" s="6">
        <f>IF('[1]env-PLC'!U110="","",'[1]env-PLC'!U110)</f>
        <v>-389.44799999999998</v>
      </c>
      <c r="G107" s="6">
        <f>IF('[1]env-PLC'!V110="","",'[1]env-PLC'!V110)</f>
        <v>57.2</v>
      </c>
      <c r="H107" s="6">
        <f>IF([1]鹼度!L110="","",[1]鹼度!L110)</f>
        <v>1426.3999999999999</v>
      </c>
      <c r="I107" s="6">
        <f>IF([1]HPLC!CH110="","",[1]HPLC!CH110)</f>
        <v>3.6379702409999997</v>
      </c>
      <c r="J107" s="6">
        <f>IF([1]HPLC!CI110="","",[1]HPLC!CI110)</f>
        <v>61.138383479999995</v>
      </c>
      <c r="K107" s="6">
        <f>IF([1]HPLC!CJ110="","",[1]HPLC!CJ110)</f>
        <v>288.07997855999997</v>
      </c>
      <c r="L107" s="6">
        <f>IF([1]HPLC!CK110="","",[1]HPLC!CK110)</f>
        <v>4.8350393799999996</v>
      </c>
      <c r="M107" s="6">
        <f>IF([1]HPLC!CL110="","",[1]HPLC!CL110)</f>
        <v>0</v>
      </c>
      <c r="N107" s="6">
        <f>IF([1]HPLC!CM110="","",[1]HPLC!CM110)</f>
        <v>6.7444477440000004</v>
      </c>
      <c r="O107" s="6">
        <f>IF([1]HPLC!CN110="","",[1]HPLC!CN110)</f>
        <v>524.25057260290998</v>
      </c>
      <c r="P107" s="6">
        <f>IF([1]HPLC!CO110="","",[1]HPLC!CO110)</f>
        <v>620</v>
      </c>
      <c r="Q107" s="6">
        <f>IF([1]HPLC!CP110="","",[1]HPLC!CP110)</f>
        <v>0.84556543968211284</v>
      </c>
      <c r="R107" s="6">
        <f>IF([1]HPLC!CQ110="","",[1]HPLC!CQ110)</f>
        <v>76.595956580227238</v>
      </c>
      <c r="S107" s="6">
        <f>IF([1]HPLC!CR110="","",[1]HPLC!CR110)</f>
        <v>72.321428571428569</v>
      </c>
      <c r="T107" s="5">
        <f>IF([1]氣體產量!AC110="","",[1]氣體產量!AC110)</f>
        <v>0.35500572226098043</v>
      </c>
      <c r="U107" s="3">
        <f>IF('[1]GC-TCD'!BU110="","",'[1]GC-TCD'!BU110)</f>
        <v>0</v>
      </c>
      <c r="V107" s="6">
        <f>IF('[1]GC-TCD'!BV110="","",'[1]GC-TCD'!BV110)</f>
        <v>21.027935808155583</v>
      </c>
      <c r="W107" s="6">
        <f>IF('[1]GC-TCD'!BW110="","",'[1]GC-TCD'!BW110)</f>
        <v>54.32060057604793</v>
      </c>
      <c r="X107" s="6">
        <f>IF('[1]GC-TCD'!BX110="","",'[1]GC-TCD'!BX110)</f>
        <v>24.651463615796484</v>
      </c>
      <c r="Y107">
        <v>298.37200000000001</v>
      </c>
      <c r="Z107" s="6">
        <f>IF([1]SS!AB110="","",[1]SS!AB110)</f>
        <v>6499.999999999839</v>
      </c>
      <c r="AA107" s="6">
        <f>IF([1]SS!AG110="","",[1]SS!AG110)</f>
        <v>268.00000000000159</v>
      </c>
      <c r="AB107" s="6">
        <f>IF([1]流量!AF110="","",[1]流量!AF110)</f>
        <v>2.0895355165044172</v>
      </c>
      <c r="AC107" s="6">
        <f>IF([1]流量!AN110="","",[1]流量!AN110)</f>
        <v>1.0958358702839046</v>
      </c>
      <c r="AD107" s="4">
        <f>IF([1]氣體產量!AH110="","",[1]氣體產量!AH110)</f>
        <v>0.19284124041150125</v>
      </c>
      <c r="AE107" s="4">
        <f>IF([1]methane_yield!W110="","",[1]methane_yield!W110)</f>
        <v>6.4225575577216559E-2</v>
      </c>
      <c r="AF107" s="4">
        <f>IF([1]methane_yield!AA110="","",[1]methane_yield!AA110)</f>
        <v>6.5641805125293579E-2</v>
      </c>
    </row>
    <row r="108" spans="1:32">
      <c r="A108" s="1">
        <v>44942</v>
      </c>
      <c r="B108">
        <v>107</v>
      </c>
      <c r="C108" t="s">
        <v>134</v>
      </c>
      <c r="D108" s="6">
        <f>IF('[1]env-PLC'!S111="","",'[1]env-PLC'!S111)</f>
        <v>32.781818181818174</v>
      </c>
      <c r="E108" s="6">
        <f>IF('[1]env-PLC'!T111="","",'[1]env-PLC'!T111)</f>
        <v>6.3609090909090931</v>
      </c>
      <c r="F108" s="6">
        <f>IF('[1]env-PLC'!U111="","",'[1]env-PLC'!U111)</f>
        <v>-404.5</v>
      </c>
      <c r="G108" s="6">
        <f>IF('[1]env-PLC'!V111="","",'[1]env-PLC'!V111)</f>
        <v>57.9</v>
      </c>
      <c r="H108" s="6">
        <f>IF([1]鹼度!L111="","",[1]鹼度!L111)</f>
        <v>1468.6</v>
      </c>
      <c r="I108" s="6">
        <f>IF([1]HPLC!CH111="","",[1]HPLC!CH111)</f>
        <v>2.1754803190000001</v>
      </c>
      <c r="J108" s="6">
        <f>IF([1]HPLC!CI111="","",[1]HPLC!CI111)</f>
        <v>54.875955839999996</v>
      </c>
      <c r="K108" s="6">
        <f>IF([1]HPLC!CJ111="","",[1]HPLC!CJ111)</f>
        <v>277.42603394700001</v>
      </c>
      <c r="L108" s="6">
        <f>IF([1]HPLC!CK111="","",[1]HPLC!CK111)</f>
        <v>4.6999783080000004</v>
      </c>
      <c r="M108" s="6">
        <f>IF([1]HPLC!CL111="","",[1]HPLC!CL111)</f>
        <v>0</v>
      </c>
      <c r="N108" s="6">
        <f>IF([1]HPLC!CM111="","",[1]HPLC!CM111)</f>
        <v>2.772168416</v>
      </c>
      <c r="O108" s="6">
        <f>IF([1]HPLC!CN111="","",[1]HPLC!CN111)</f>
        <v>492.60118620961998</v>
      </c>
      <c r="P108" s="6">
        <f>IF([1]HPLC!CO111="","",[1]HPLC!CO111)</f>
        <v>900</v>
      </c>
      <c r="Q108" s="6">
        <f>IF([1]HPLC!CP111="","",[1]HPLC!CP111)</f>
        <v>0.54733465134402215</v>
      </c>
      <c r="R108" s="6">
        <f>IF([1]HPLC!CQ111="","",[1]HPLC!CQ111)</f>
        <v>78.008875615641969</v>
      </c>
      <c r="S108" s="6">
        <f>IF([1]HPLC!CR111="","",[1]HPLC!CR111)</f>
        <v>59.821428571428569</v>
      </c>
      <c r="T108" s="5">
        <f>IF([1]氣體產量!AC111="","",[1]氣體產量!AC111)</f>
        <v>0.29897244482185742</v>
      </c>
      <c r="U108" s="3">
        <f>IF('[1]GC-TCD'!BU111="","",'[1]GC-TCD'!BU111)</f>
        <v>0</v>
      </c>
      <c r="V108" s="6">
        <f>IF('[1]GC-TCD'!BV111="","",'[1]GC-TCD'!BV111)</f>
        <v>15.445419036267364</v>
      </c>
      <c r="W108" s="6">
        <f>IF('[1]GC-TCD'!BW111="","",'[1]GC-TCD'!BW111)</f>
        <v>56.057048885068362</v>
      </c>
      <c r="X108" s="6">
        <f>IF('[1]GC-TCD'!BX111="","",'[1]GC-TCD'!BX111)</f>
        <v>28.497532078664278</v>
      </c>
      <c r="Y108">
        <v>305.68900000000002</v>
      </c>
      <c r="Z108" s="6">
        <f>IF([1]SS!AB111="","",[1]SS!AB111)</f>
        <v>33000.000000000247</v>
      </c>
      <c r="AA108" s="6">
        <f>IF([1]SS!AG111="","",[1]SS!AG111)</f>
        <v>229.99999999999687</v>
      </c>
      <c r="AB108" s="6">
        <f>IF([1]流量!AF111="","",[1]流量!AF111)</f>
        <v>2.1177340534921787</v>
      </c>
      <c r="AC108" s="6" t="str">
        <f>IF([1]流量!AN111="","",[1]流量!AN111)</f>
        <v/>
      </c>
      <c r="AD108" s="4">
        <f>IF([1]氣體產量!AH111="","",[1]氣體產量!AH111)</f>
        <v>0.16759512954667266</v>
      </c>
      <c r="AE108" s="4" t="str">
        <f>IF([1]methane_yield!W111="","",[1]methane_yield!W111)</f>
        <v/>
      </c>
      <c r="AF108" s="4" t="str">
        <f>IF([1]methane_yield!AA111="","",[1]methane_yield!AA111)</f>
        <v/>
      </c>
    </row>
    <row r="109" spans="1:32">
      <c r="A109" s="1">
        <v>44943</v>
      </c>
      <c r="B109">
        <v>108</v>
      </c>
      <c r="C109" t="s">
        <v>135</v>
      </c>
      <c r="D109" s="6">
        <f>IF('[1]env-PLC'!S112="","",'[1]env-PLC'!S112)</f>
        <v>32.95652173913043</v>
      </c>
      <c r="E109" s="6">
        <f>IF('[1]env-PLC'!T112="","",'[1]env-PLC'!T112)</f>
        <v>6.3734782608695655</v>
      </c>
      <c r="F109" s="6">
        <f>IF('[1]env-PLC'!U112="","",'[1]env-PLC'!U112)</f>
        <v>-408.47826086956519</v>
      </c>
      <c r="G109" s="6">
        <f>IF('[1]env-PLC'!V112="","",'[1]env-PLC'!V112)</f>
        <v>57.6</v>
      </c>
      <c r="H109" s="6">
        <f>IF([1]鹼度!L112="","",[1]鹼度!L112)</f>
        <v>1481.15</v>
      </c>
      <c r="I109" s="6">
        <f>IF([1]HPLC!CH112="","",[1]HPLC!CH112)</f>
        <v>0.66159627600000004</v>
      </c>
      <c r="J109" s="6">
        <f>IF([1]HPLC!CI112="","",[1]HPLC!CI112)</f>
        <v>50.435546879999997</v>
      </c>
      <c r="K109" s="6">
        <f>IF([1]HPLC!CJ112="","",[1]HPLC!CJ112)</f>
        <v>279.75933945399998</v>
      </c>
      <c r="L109" s="6">
        <f>IF([1]HPLC!CK112="","",[1]HPLC!CK112)</f>
        <v>4.4546523019999995</v>
      </c>
      <c r="M109" s="6">
        <f>IF([1]HPLC!CL112="","",[1]HPLC!CL112)</f>
        <v>0</v>
      </c>
      <c r="N109" s="6">
        <f>IF([1]HPLC!CM112="","",[1]HPLC!CM112)</f>
        <v>0</v>
      </c>
      <c r="O109" s="6">
        <f>IF([1]HPLC!CN112="","",[1]HPLC!CN112)</f>
        <v>484.74166362337996</v>
      </c>
      <c r="P109" s="6">
        <f>IF([1]HPLC!CO112="","",[1]HPLC!CO112)</f>
        <v>640</v>
      </c>
      <c r="Q109" s="6">
        <f>IF([1]HPLC!CP112="","",[1]HPLC!CP112)</f>
        <v>0.75740884941153119</v>
      </c>
      <c r="R109" s="6">
        <f>IF([1]HPLC!CQ112="","",[1]HPLC!CQ112)</f>
        <v>78.359747159670533</v>
      </c>
      <c r="S109" s="6">
        <f>IF([1]HPLC!CR112="","",[1]HPLC!CR112)</f>
        <v>71.428571428571431</v>
      </c>
      <c r="T109" s="5">
        <f>IF([1]氣體產量!AC112="","",[1]氣體產量!AC112)</f>
        <v>0.29208658726075826</v>
      </c>
      <c r="U109" s="3">
        <f>IF('[1]GC-TCD'!BU112="","",'[1]GC-TCD'!BU112)</f>
        <v>0</v>
      </c>
      <c r="V109" s="6">
        <f>IF('[1]GC-TCD'!BV112="","",'[1]GC-TCD'!BV112)</f>
        <v>16.137525349266589</v>
      </c>
      <c r="W109" s="6">
        <f>IF('[1]GC-TCD'!BW112="","",'[1]GC-TCD'!BW112)</f>
        <v>56.355616550981324</v>
      </c>
      <c r="X109" s="6">
        <f>IF('[1]GC-TCD'!BX112="","",'[1]GC-TCD'!BX112)</f>
        <v>27.506858099752087</v>
      </c>
      <c r="Y109">
        <v>367.38</v>
      </c>
      <c r="Z109" s="6">
        <f>IF([1]SS!AB112="","",[1]SS!AB112)</f>
        <v>30749.999999999942</v>
      </c>
      <c r="AA109" s="6">
        <f>IF([1]SS!AG112="","",[1]SS!AG112)</f>
        <v>278.00000000000045</v>
      </c>
      <c r="AB109" s="6">
        <f>IF([1]流量!AF112="","",[1]流量!AF112)</f>
        <v>2.1546327211892491</v>
      </c>
      <c r="AC109" s="6">
        <f>IF([1]流量!AN112="","",[1]流量!AN112)</f>
        <v>1.0618342541398902</v>
      </c>
      <c r="AD109" s="4">
        <f>IF([1]氣體產量!AH112="","",[1]氣體產量!AH112)</f>
        <v>0.16460719711352037</v>
      </c>
      <c r="AE109" s="4">
        <f>IF([1]methane_yield!W112="","",[1]methane_yield!W112)</f>
        <v>5.358826877165606E-2</v>
      </c>
      <c r="AF109" s="4">
        <f>IF([1]methane_yield!AA112="","",[1]methane_yield!AA112)</f>
        <v>5.6523756688252109E-2</v>
      </c>
    </row>
    <row r="110" spans="1:32">
      <c r="A110" s="1">
        <v>44944</v>
      </c>
      <c r="B110">
        <v>109</v>
      </c>
      <c r="C110" t="s">
        <v>136</v>
      </c>
      <c r="D110" s="6">
        <f>IF('[1]env-PLC'!S113="","",'[1]env-PLC'!S113)</f>
        <v>32.995652173913037</v>
      </c>
      <c r="E110" s="6">
        <f>IF('[1]env-PLC'!T113="","",'[1]env-PLC'!T113)</f>
        <v>6.3899999999999988</v>
      </c>
      <c r="F110" s="6">
        <f>IF('[1]env-PLC'!U113="","",'[1]env-PLC'!U113)</f>
        <v>-364.3478260869565</v>
      </c>
      <c r="G110" s="6">
        <f>IF('[1]env-PLC'!V113="","",'[1]env-PLC'!V113)</f>
        <v>57.8</v>
      </c>
      <c r="H110" s="6">
        <f>IF([1]鹼度!L113="","",[1]鹼度!L113)</f>
        <v>1460.6</v>
      </c>
      <c r="I110" s="6">
        <f>IF([1]HPLC!CH113="","",[1]HPLC!CH113)</f>
        <v>2.4221315689999998</v>
      </c>
      <c r="J110" s="6">
        <f>IF([1]HPLC!CI113="","",[1]HPLC!CI113)</f>
        <v>42.998771159999997</v>
      </c>
      <c r="K110" s="6">
        <f>IF([1]HPLC!CJ113="","",[1]HPLC!CJ113)</f>
        <v>295.59723559299999</v>
      </c>
      <c r="L110" s="6">
        <f>IF([1]HPLC!CK113="","",[1]HPLC!CK113)</f>
        <v>4.408160466</v>
      </c>
      <c r="M110" s="6">
        <f>IF([1]HPLC!CL113="","",[1]HPLC!CL113)</f>
        <v>0</v>
      </c>
      <c r="N110" s="6">
        <f>IF([1]HPLC!CM113="","",[1]HPLC!CM113)</f>
        <v>3.9671609040000004</v>
      </c>
      <c r="O110" s="6">
        <f>IF([1]HPLC!CN113="","",[1]HPLC!CN113)</f>
        <v>509.32411722806</v>
      </c>
      <c r="P110" s="6">
        <f>IF([1]HPLC!CO113="","",[1]HPLC!CO113)</f>
        <v>630</v>
      </c>
      <c r="Q110" s="6">
        <f>IF([1]HPLC!CP113="","",[1]HPLC!CP113)</f>
        <v>0.80845097972707936</v>
      </c>
      <c r="R110" s="6">
        <f>IF([1]HPLC!CQ113="","",[1]HPLC!CQ113)</f>
        <v>77.262316195175899</v>
      </c>
      <c r="S110" s="6">
        <f>IF([1]HPLC!CR113="","",[1]HPLC!CR113)</f>
        <v>71.875</v>
      </c>
      <c r="T110" s="5">
        <f>IF([1]氣體產量!AC113="","",[1]氣體產量!AC113)</f>
        <v>0.22650330045113318</v>
      </c>
      <c r="U110" s="3">
        <f>IF('[1]GC-TCD'!BU113="","",'[1]GC-TCD'!BU113)</f>
        <v>0</v>
      </c>
      <c r="V110" s="6">
        <f>IF('[1]GC-TCD'!BV113="","",'[1]GC-TCD'!BV113)</f>
        <v>17.759184232687641</v>
      </c>
      <c r="W110" s="6">
        <f>IF('[1]GC-TCD'!BW113="","",'[1]GC-TCD'!BW113)</f>
        <v>56.257597101982469</v>
      </c>
      <c r="X110" s="6">
        <f>IF('[1]GC-TCD'!BX113="","",'[1]GC-TCD'!BX113)</f>
        <v>25.983218665329883</v>
      </c>
      <c r="Y110">
        <v>393.66500000000002</v>
      </c>
      <c r="Z110" s="6">
        <f>IF([1]SS!AB113="","",[1]SS!AB113)</f>
        <v>33500.000000000189</v>
      </c>
      <c r="AA110" s="6">
        <f>IF([1]SS!AG113="","",[1]SS!AG113)</f>
        <v>225.99999999999733</v>
      </c>
      <c r="AB110" s="6">
        <f>IF([1]流量!AF113="","",[1]流量!AF113)</f>
        <v>2.0434385455203712</v>
      </c>
      <c r="AC110" s="6">
        <f>IF([1]流量!AN113="","",[1]流量!AN113)</f>
        <v>1.0581558784674727</v>
      </c>
      <c r="AD110" s="4">
        <f>IF([1]氣體產量!AH113="","",[1]氣體產量!AH113)</f>
        <v>0.12742531419049136</v>
      </c>
      <c r="AE110" s="4">
        <f>IF([1]methane_yield!W113="","",[1]methane_yield!W113)</f>
        <v>4.2072849097016314E-2</v>
      </c>
      <c r="AF110" s="4">
        <f>IF([1]methane_yield!AA113="","",[1]methane_yield!AA113)</f>
        <v>4.4531804762928201E-2</v>
      </c>
    </row>
    <row r="111" spans="1:32">
      <c r="A111" s="1">
        <v>44945</v>
      </c>
      <c r="B111">
        <v>110</v>
      </c>
      <c r="C111" t="s">
        <v>137</v>
      </c>
      <c r="D111" s="6">
        <f>IF('[1]env-PLC'!S114="","",'[1]env-PLC'!S114)</f>
        <v>33.209090909090918</v>
      </c>
      <c r="E111" s="6">
        <f>IF('[1]env-PLC'!T114="","",'[1]env-PLC'!T114)</f>
        <v>6.3909090909090907</v>
      </c>
      <c r="F111" s="6">
        <f>IF('[1]env-PLC'!U114="","",'[1]env-PLC'!U114)</f>
        <v>-418.18181818181819</v>
      </c>
      <c r="G111" s="6">
        <f>IF('[1]env-PLC'!V114="","",'[1]env-PLC'!V114)</f>
        <v>58.1</v>
      </c>
      <c r="H111" s="6">
        <f>IF([1]鹼度!L114="","",[1]鹼度!L114)</f>
        <v>1493.2</v>
      </c>
      <c r="I111" s="6">
        <f>IF([1]HPLC!CH114="","",[1]HPLC!CH114)</f>
        <v>1.6341488209999997</v>
      </c>
      <c r="J111" s="6">
        <f>IF([1]HPLC!CI114="","",[1]HPLC!CI114)</f>
        <v>34.930189199999994</v>
      </c>
      <c r="K111" s="6">
        <f>IF([1]HPLC!CJ114="","",[1]HPLC!CJ114)</f>
        <v>297.807776913</v>
      </c>
      <c r="L111" s="6">
        <f>IF([1]HPLC!CK114="","",[1]HPLC!CK114)</f>
        <v>4.7770685339999996</v>
      </c>
      <c r="M111" s="6">
        <f>IF([1]HPLC!CL114="","",[1]HPLC!CL114)</f>
        <v>0</v>
      </c>
      <c r="N111" s="6">
        <f>IF([1]HPLC!CM114="","",[1]HPLC!CM114)</f>
        <v>4.7426432960000007</v>
      </c>
      <c r="O111" s="6">
        <f>IF([1]HPLC!CN114="","",[1]HPLC!CN114)</f>
        <v>506.00625472569999</v>
      </c>
      <c r="P111" s="6">
        <f>IF([1]HPLC!CO114="","",[1]HPLC!CO114)</f>
        <v>570</v>
      </c>
      <c r="Q111" s="6">
        <f>IF([1]HPLC!CP114="","",[1]HPLC!CP114)</f>
        <v>0.88773027144859651</v>
      </c>
      <c r="R111" s="6">
        <f>IF([1]HPLC!CQ114="","",[1]HPLC!CQ114)</f>
        <v>77.410435056888389</v>
      </c>
      <c r="S111" s="6">
        <f>IF([1]HPLC!CR114="","",[1]HPLC!CR114)</f>
        <v>74.553571428571431</v>
      </c>
      <c r="T111" s="5">
        <f>IF([1]氣體產量!AC114="","",[1]氣體產量!AC114)</f>
        <v>0.28184694533771437</v>
      </c>
      <c r="U111" s="3">
        <f>IF('[1]GC-TCD'!BU114="","",'[1]GC-TCD'!BU114)</f>
        <v>0</v>
      </c>
      <c r="V111" s="6">
        <f>IF('[1]GC-TCD'!BV114="","",'[1]GC-TCD'!BV114)</f>
        <v>16.910723071182673</v>
      </c>
      <c r="W111" s="6">
        <f>IF('[1]GC-TCD'!BW114="","",'[1]GC-TCD'!BW114)</f>
        <v>56.382916494305988</v>
      </c>
      <c r="X111" s="6">
        <f>IF('[1]GC-TCD'!BX114="","",'[1]GC-TCD'!BX114)</f>
        <v>26.706360434511321</v>
      </c>
      <c r="Y111">
        <v>365.92700000000002</v>
      </c>
      <c r="Z111" s="6">
        <f>IF([1]SS!AB114="","",[1]SS!AB114)</f>
        <v>38750.000000000167</v>
      </c>
      <c r="AA111" s="6">
        <f>IF([1]SS!AG114="","",[1]SS!AG114)</f>
        <v>271.9999999999967</v>
      </c>
      <c r="AB111" s="6">
        <f>IF([1]流量!AF114="","",[1]流量!AF114)</f>
        <v>2.0605600539756077</v>
      </c>
      <c r="AC111" s="6">
        <f>IF([1]流量!AN114="","",[1]流量!AN114)</f>
        <v>1.0742739018068466</v>
      </c>
      <c r="AD111" s="4">
        <f>IF([1]氣體產量!AH114="","",[1]氣體產量!AH114)</f>
        <v>0.15891352783151574</v>
      </c>
      <c r="AE111" s="4">
        <f>IF([1]methane_yield!W114="","",[1]methane_yield!W114)</f>
        <v>5.2369122112993972E-2</v>
      </c>
      <c r="AF111" s="4">
        <f>IF([1]methane_yield!AA114="","",[1]methane_yield!AA114)</f>
        <v>5.4598195737514135E-2</v>
      </c>
    </row>
    <row r="112" spans="1:32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 ht="15.75" customHeight="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5">
      <c r="A177" s="1"/>
    </row>
    <row r="178" spans="1:15">
      <c r="A178" s="1"/>
    </row>
    <row r="179" spans="1:15">
      <c r="A179" s="1"/>
    </row>
    <row r="180" spans="1:15">
      <c r="A180" s="1"/>
    </row>
    <row r="181" spans="1:15">
      <c r="A181" s="1"/>
      <c r="O181" s="2"/>
    </row>
    <row r="182" spans="1:15">
      <c r="A182" s="1"/>
    </row>
    <row r="183" spans="1:15">
      <c r="A183" s="1"/>
    </row>
    <row r="184" spans="1:15">
      <c r="A184" s="1"/>
    </row>
    <row r="185" spans="1:15">
      <c r="A185" s="1"/>
    </row>
    <row r="186" spans="1:15">
      <c r="A186" s="1"/>
    </row>
    <row r="187" spans="1:15" ht="15.75" customHeight="1">
      <c r="A187" s="1"/>
    </row>
    <row r="188" spans="1:15">
      <c r="A188" s="1"/>
    </row>
    <row r="189" spans="1:15">
      <c r="A189" s="1"/>
    </row>
    <row r="190" spans="1:15">
      <c r="A190" s="1"/>
    </row>
    <row r="191" spans="1:15">
      <c r="A191" s="1"/>
    </row>
    <row r="192" spans="1:15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5">
      <c r="A337" s="1"/>
      <c r="O337" s="2"/>
    </row>
    <row r="338" spans="1:15">
      <c r="A338" s="1"/>
      <c r="O338" s="2"/>
    </row>
    <row r="339" spans="1:15">
      <c r="A339" s="1"/>
    </row>
    <row r="340" spans="1:15">
      <c r="A340" s="1"/>
    </row>
    <row r="341" spans="1:15">
      <c r="A341" s="1"/>
    </row>
    <row r="342" spans="1:15">
      <c r="A342" s="1"/>
    </row>
    <row r="343" spans="1:15">
      <c r="A343" s="1"/>
    </row>
    <row r="344" spans="1:15">
      <c r="A344" s="1"/>
    </row>
    <row r="345" spans="1:15">
      <c r="A345" s="1"/>
    </row>
    <row r="346" spans="1:15">
      <c r="A346" s="1"/>
    </row>
    <row r="347" spans="1:15">
      <c r="A347" s="1"/>
    </row>
    <row r="348" spans="1:15">
      <c r="A348" s="1"/>
    </row>
    <row r="349" spans="1:15">
      <c r="A349" s="1"/>
    </row>
    <row r="350" spans="1:15">
      <c r="A350" s="1"/>
    </row>
    <row r="351" spans="1:15">
      <c r="A351" s="1"/>
    </row>
    <row r="352" spans="1:15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</sheetData>
  <phoneticPr fontId="18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D4-UASB daughter reactors envir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Koushik</cp:lastModifiedBy>
  <dcterms:created xsi:type="dcterms:W3CDTF">2024-04-17T09:36:08Z</dcterms:created>
  <dcterms:modified xsi:type="dcterms:W3CDTF">2024-08-22T08:48:07Z</dcterms:modified>
</cp:coreProperties>
</file>